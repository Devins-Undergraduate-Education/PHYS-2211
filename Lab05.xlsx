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n\OneDrive\Documents\Georgia Tech\PHYS 2211\"/>
    </mc:Choice>
  </mc:AlternateContent>
  <xr:revisionPtr revIDLastSave="0" documentId="8_{6FB1D689-7E54-46DC-9BEB-E8FA81A962E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58" i="1" l="1"/>
  <c r="F59" i="1"/>
  <c r="F60" i="1"/>
  <c r="F61" i="1"/>
  <c r="F62" i="1"/>
  <c r="F63" i="1"/>
  <c r="F64" i="1"/>
  <c r="F65" i="1"/>
  <c r="F66" i="1"/>
  <c r="F57" i="1"/>
  <c r="F36" i="1" l="1"/>
  <c r="F37" i="1"/>
  <c r="F38" i="1"/>
  <c r="F39" i="1"/>
  <c r="F40" i="1"/>
  <c r="F41" i="1"/>
  <c r="F42" i="1"/>
  <c r="F43" i="1"/>
  <c r="F44" i="1"/>
  <c r="F35" i="1"/>
  <c r="F14" i="1"/>
  <c r="F15" i="1"/>
  <c r="F16" i="1"/>
  <c r="F17" i="1"/>
  <c r="F18" i="1"/>
  <c r="F19" i="1"/>
  <c r="F20" i="1"/>
  <c r="F21" i="1"/>
  <c r="F22" i="1"/>
  <c r="F13" i="1"/>
  <c r="F70" i="1"/>
  <c r="F72" i="1" s="1"/>
  <c r="F68" i="1"/>
  <c r="C58" i="1"/>
  <c r="C59" i="1" s="1"/>
  <c r="C60" i="1" s="1"/>
  <c r="C61" i="1" s="1"/>
  <c r="C62" i="1" s="1"/>
  <c r="C63" i="1" s="1"/>
  <c r="C64" i="1" s="1"/>
  <c r="C65" i="1" s="1"/>
  <c r="C66" i="1" s="1"/>
  <c r="C36" i="1"/>
  <c r="C37" i="1" s="1"/>
  <c r="C38" i="1" s="1"/>
  <c r="C39" i="1" s="1"/>
  <c r="C40" i="1" s="1"/>
  <c r="C41" i="1" s="1"/>
  <c r="C42" i="1" s="1"/>
  <c r="C43" i="1" s="1"/>
  <c r="C44" i="1" s="1"/>
  <c r="C14" i="1"/>
  <c r="C15" i="1" s="1"/>
  <c r="C16" i="1" s="1"/>
  <c r="C17" i="1" s="1"/>
  <c r="C18" i="1" s="1"/>
  <c r="C19" i="1" s="1"/>
  <c r="C20" i="1" s="1"/>
  <c r="C21" i="1" s="1"/>
  <c r="C22" i="1" s="1"/>
  <c r="F48" i="1" l="1"/>
  <c r="F50" i="1" s="1"/>
  <c r="F46" i="1"/>
  <c r="F24" i="1"/>
  <c r="F26" i="1"/>
  <c r="F28" i="1" s="1"/>
</calcChain>
</file>

<file path=xl/sharedStrings.xml><?xml version="1.0" encoding="utf-8"?>
<sst xmlns="http://schemas.openxmlformats.org/spreadsheetml/2006/main" count="41" uniqueCount="18">
  <si>
    <t>Lab 05 – Newton's Second Law</t>
  </si>
  <si>
    <t>Your Name:</t>
  </si>
  <si>
    <t>Partner(s):</t>
  </si>
  <si>
    <t>Experiment 1 – 55 g Hanging Mass</t>
  </si>
  <si>
    <t>Trial #</t>
  </si>
  <si>
    <t>Average:</t>
  </si>
  <si>
    <t>Standard Deviation:</t>
  </si>
  <si>
    <t>Standard Error:</t>
  </si>
  <si>
    <t>Experiment 2 – 75 g Hanging Mass</t>
  </si>
  <si>
    <t>Experiment 3 – 95 g Hanging Mass</t>
  </si>
  <si>
    <t>Experiment 4 – Gravitational Mass</t>
  </si>
  <si>
    <t>Gravitational Mass =</t>
  </si>
  <si>
    <t>Devin Fromond</t>
  </si>
  <si>
    <t>Carlos Hernendez, Evan Romero</t>
  </si>
  <si>
    <t>Acceleration (m/s/s)</t>
  </si>
  <si>
    <t>Force (N)</t>
  </si>
  <si>
    <t>Mass (kg)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</si>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</sst>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6" x14ac:knownFonts="1">
    <font>
      <sz val="10"/>
      <name val="Arial"/>
      <family val="2"/>
    </font>
    <font>
      <sz val="10"/>
      <name val="Mangal"/>
      <family val="2"/>
    </font>
    <font>
      <sz val="12"/>
      <name val="Century"/>
      <family val="1"/>
    </font>
    <font>
      <b/>
      <sz val="14"/>
      <name val="Century"/>
      <family val="1"/>
    </font>
    <font>
      <sz val="10"/>
      <name val="Century"/>
      <family val="1"/>
    </font>
    <font>
      <b/>
      <sz val="12"/>
      <name val="Century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 applyBorder="0" applyProtection="0">
      <alignment horizontal="center" textRotation="90"/>
    </xf>
  </cellStyleXfs>
  <cellXfs count="1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/>
    <xf numFmtId="0" fontId="2" fillId="0" borderId="1" xfId="0" applyFont="1" applyBorder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165" fontId="2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2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/>
    </xf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78"/>
  <sheetViews>
    <sheetView tabSelected="1" topLeftCell="A52" zoomScale="91" zoomScaleNormal="100" workbookViewId="0">
      <selection activeCell="G59" sqref="G59"/>
    </sheetView>
  </sheetViews>
  <sheetFormatPr defaultRowHeight="15" x14ac:dyDescent="0.25"/>
  <cols>
    <col min="1" max="3" width="19.44140625" style="1" customWidth="1"/>
    <col min="4" max="4" width="21.109375" style="1" customWidth="1"/>
    <col min="5" max="6" width="19.44140625" style="1" customWidth="1"/>
    <col min="7" max="1025" width="11.5546875" style="1"/>
    <col min="1026" max="16384" width="8.88671875" style="3"/>
  </cols>
  <sheetData>
    <row r="1" spans="1:6" ht="17.399999999999999" x14ac:dyDescent="0.25">
      <c r="B1" s="2"/>
      <c r="C1" s="3"/>
    </row>
    <row r="2" spans="1:6" ht="17.399999999999999" x14ac:dyDescent="0.25">
      <c r="B2" s="4" t="s">
        <v>0</v>
      </c>
      <c r="C2" s="4"/>
      <c r="D2" s="4"/>
      <c r="E2" s="4"/>
    </row>
    <row r="3" spans="1:6" x14ac:dyDescent="0.25">
      <c r="B3" s="5"/>
      <c r="C3" s="3"/>
    </row>
    <row r="4" spans="1:6" x14ac:dyDescent="0.25">
      <c r="B4" s="5" t="s">
        <v>1</v>
      </c>
      <c r="C4" s="6" t="s">
        <v>12</v>
      </c>
      <c r="D4" s="6"/>
      <c r="E4" s="6"/>
    </row>
    <row r="5" spans="1:6" x14ac:dyDescent="0.25">
      <c r="B5" s="5"/>
    </row>
    <row r="6" spans="1:6" x14ac:dyDescent="0.25">
      <c r="B6" s="5" t="s">
        <v>2</v>
      </c>
      <c r="C6" s="6" t="s">
        <v>13</v>
      </c>
      <c r="D6" s="6"/>
      <c r="E6" s="6"/>
    </row>
    <row r="10" spans="1:6" x14ac:dyDescent="0.25">
      <c r="B10" s="7" t="s">
        <v>3</v>
      </c>
    </row>
    <row r="11" spans="1:6" x14ac:dyDescent="0.25">
      <c r="A11" s="3"/>
      <c r="C11" s="8"/>
    </row>
    <row r="12" spans="1:6" x14ac:dyDescent="0.25">
      <c r="A12" s="3"/>
      <c r="C12" s="9" t="s">
        <v>4</v>
      </c>
      <c r="D12" s="9" t="s">
        <v>14</v>
      </c>
      <c r="E12" s="9" t="s">
        <v>15</v>
      </c>
      <c r="F12" s="9" t="s">
        <v>16</v>
      </c>
    </row>
    <row r="13" spans="1:6" x14ac:dyDescent="0.25">
      <c r="A13" s="3"/>
      <c r="C13" s="9">
        <v>1</v>
      </c>
      <c r="D13" s="9">
        <v>0.48699999999999999</v>
      </c>
      <c r="E13" s="10">
        <v>0.43</v>
      </c>
      <c r="F13" s="10">
        <f>E13/D13</f>
        <v>0.88295687885010266</v>
      </c>
    </row>
    <row r="14" spans="1:6" x14ac:dyDescent="0.25">
      <c r="A14" s="3"/>
      <c r="C14" s="9">
        <f t="shared" ref="C14:C22" si="0">C13+1</f>
        <v>2</v>
      </c>
      <c r="D14" s="9">
        <v>0.495</v>
      </c>
      <c r="E14" s="9">
        <v>0.42899999999999999</v>
      </c>
      <c r="F14" s="10">
        <f t="shared" ref="F14:F22" si="1">E14/D14</f>
        <v>0.8666666666666667</v>
      </c>
    </row>
    <row r="15" spans="1:6" x14ac:dyDescent="0.25">
      <c r="A15" s="3"/>
      <c r="C15" s="11">
        <f t="shared" si="0"/>
        <v>3</v>
      </c>
      <c r="D15" s="11">
        <v>0.497</v>
      </c>
      <c r="E15" s="11">
        <v>0.44400000000000001</v>
      </c>
      <c r="F15" s="10">
        <f t="shared" si="1"/>
        <v>0.89336016096579474</v>
      </c>
    </row>
    <row r="16" spans="1:6" x14ac:dyDescent="0.25">
      <c r="A16" s="3"/>
      <c r="C16" s="9">
        <f t="shared" si="0"/>
        <v>4</v>
      </c>
      <c r="D16" s="9">
        <v>0.49299999999999999</v>
      </c>
      <c r="E16" s="9">
        <v>0.42899999999999999</v>
      </c>
      <c r="F16" s="10">
        <f t="shared" si="1"/>
        <v>0.87018255578093306</v>
      </c>
    </row>
    <row r="17" spans="1:7" x14ac:dyDescent="0.25">
      <c r="A17" s="3"/>
      <c r="C17" s="9">
        <f t="shared" si="0"/>
        <v>5</v>
      </c>
      <c r="D17" s="9">
        <v>0.49099999999999999</v>
      </c>
      <c r="E17" s="9">
        <v>0.435</v>
      </c>
      <c r="F17" s="10">
        <f t="shared" si="1"/>
        <v>0.88594704684317716</v>
      </c>
    </row>
    <row r="18" spans="1:7" x14ac:dyDescent="0.25">
      <c r="A18" s="3"/>
      <c r="C18" s="9">
        <f t="shared" si="0"/>
        <v>6</v>
      </c>
      <c r="D18" s="9">
        <v>0.505</v>
      </c>
      <c r="E18" s="9">
        <v>0.437</v>
      </c>
      <c r="F18" s="10">
        <f t="shared" si="1"/>
        <v>0.86534653465346534</v>
      </c>
    </row>
    <row r="19" spans="1:7" x14ac:dyDescent="0.25">
      <c r="A19" s="3"/>
      <c r="C19" s="9">
        <f t="shared" si="0"/>
        <v>7</v>
      </c>
      <c r="D19" s="9">
        <v>0.498</v>
      </c>
      <c r="E19" s="9">
        <v>0.43099999999999999</v>
      </c>
      <c r="F19" s="10">
        <f t="shared" si="1"/>
        <v>0.86546184738955823</v>
      </c>
    </row>
    <row r="20" spans="1:7" x14ac:dyDescent="0.25">
      <c r="A20" s="3"/>
      <c r="C20" s="9">
        <f t="shared" si="0"/>
        <v>8</v>
      </c>
      <c r="D20" s="9">
        <v>0.497</v>
      </c>
      <c r="E20" s="9">
        <v>0.437</v>
      </c>
      <c r="F20" s="10">
        <f t="shared" si="1"/>
        <v>0.87927565392354123</v>
      </c>
    </row>
    <row r="21" spans="1:7" x14ac:dyDescent="0.25">
      <c r="A21" s="3"/>
      <c r="C21" s="9">
        <f t="shared" si="0"/>
        <v>9</v>
      </c>
      <c r="D21" s="9">
        <v>0.50900000000000001</v>
      </c>
      <c r="E21" s="9">
        <v>0.438</v>
      </c>
      <c r="F21" s="10">
        <f t="shared" si="1"/>
        <v>0.86051080550098236</v>
      </c>
    </row>
    <row r="22" spans="1:7" x14ac:dyDescent="0.25">
      <c r="A22" s="3"/>
      <c r="C22" s="9">
        <f t="shared" si="0"/>
        <v>10</v>
      </c>
      <c r="D22" s="10">
        <v>0.51</v>
      </c>
      <c r="E22" s="9">
        <v>0.437</v>
      </c>
      <c r="F22" s="10">
        <f t="shared" si="1"/>
        <v>0.85686274509803917</v>
      </c>
    </row>
    <row r="23" spans="1:7" x14ac:dyDescent="0.25">
      <c r="A23" s="3"/>
    </row>
    <row r="24" spans="1:7" x14ac:dyDescent="0.25">
      <c r="A24" s="3"/>
      <c r="C24" s="3"/>
      <c r="D24" s="3"/>
      <c r="E24" s="12" t="s">
        <v>5</v>
      </c>
      <c r="F24" s="13">
        <f>AVERAGE(F13:F22)</f>
        <v>0.8726570895672261</v>
      </c>
      <c r="G24" s="3" t="s">
        <v>17</v>
      </c>
    </row>
    <row r="25" spans="1:7" x14ac:dyDescent="0.25">
      <c r="A25" s="3"/>
      <c r="C25" s="3"/>
      <c r="D25" s="3"/>
      <c r="E25" s="12"/>
      <c r="F25" s="14"/>
      <c r="G25" s="3"/>
    </row>
    <row r="26" spans="1:7" x14ac:dyDescent="0.25">
      <c r="A26" s="3"/>
      <c r="C26" s="3"/>
      <c r="D26" s="3"/>
      <c r="E26" s="12" t="s">
        <v>6</v>
      </c>
      <c r="F26" s="15">
        <f>_xlfn.STDEV.S(F13:F22)</f>
        <v>1.2015494275216554E-2</v>
      </c>
      <c r="G26" s="3" t="s">
        <v>17</v>
      </c>
    </row>
    <row r="27" spans="1:7" x14ac:dyDescent="0.25">
      <c r="A27" s="3"/>
      <c r="C27" s="3"/>
      <c r="D27" s="3"/>
      <c r="E27" s="12"/>
    </row>
    <row r="28" spans="1:7" x14ac:dyDescent="0.25">
      <c r="A28" s="3"/>
      <c r="C28" s="3"/>
      <c r="D28" s="3"/>
      <c r="E28" s="12" t="s">
        <v>7</v>
      </c>
      <c r="F28" s="13">
        <f>F26/SQRT(10)</f>
        <v>3.799632912239836E-3</v>
      </c>
      <c r="G28" s="1" t="s">
        <v>17</v>
      </c>
    </row>
    <row r="32" spans="1:7" x14ac:dyDescent="0.25">
      <c r="B32" s="7" t="s">
        <v>8</v>
      </c>
    </row>
    <row r="33" spans="1:7" x14ac:dyDescent="0.25">
      <c r="A33" s="3"/>
      <c r="C33" s="8"/>
    </row>
    <row r="34" spans="1:7" x14ac:dyDescent="0.25">
      <c r="A34" s="3"/>
      <c r="C34" s="9" t="s">
        <v>4</v>
      </c>
      <c r="D34" s="9" t="s">
        <v>14</v>
      </c>
      <c r="E34" s="9" t="s">
        <v>15</v>
      </c>
      <c r="F34" s="9" t="s">
        <v>16</v>
      </c>
    </row>
    <row r="35" spans="1:7" x14ac:dyDescent="0.25">
      <c r="A35" s="3"/>
      <c r="C35" s="9">
        <v>1</v>
      </c>
      <c r="D35" s="10">
        <v>0.71499999999999997</v>
      </c>
      <c r="E35" s="10">
        <v>0.60099999999999998</v>
      </c>
      <c r="F35" s="10">
        <f>E35/D35</f>
        <v>0.84055944055944054</v>
      </c>
    </row>
    <row r="36" spans="1:7" x14ac:dyDescent="0.25">
      <c r="A36" s="3"/>
      <c r="C36" s="9">
        <f t="shared" ref="C36:C44" si="2">C35+1</f>
        <v>2</v>
      </c>
      <c r="D36" s="10">
        <v>0.69</v>
      </c>
      <c r="E36" s="10">
        <v>0.59799999999999998</v>
      </c>
      <c r="F36" s="10">
        <f t="shared" ref="F36:F44" si="3">E36/D36</f>
        <v>0.8666666666666667</v>
      </c>
    </row>
    <row r="37" spans="1:7" x14ac:dyDescent="0.25">
      <c r="A37" s="3"/>
      <c r="C37" s="11">
        <f t="shared" si="2"/>
        <v>3</v>
      </c>
      <c r="D37" s="16">
        <v>0.69899999999999995</v>
      </c>
      <c r="E37" s="16">
        <v>0.59699999999999998</v>
      </c>
      <c r="F37" s="10">
        <f t="shared" si="3"/>
        <v>0.85407725321888417</v>
      </c>
    </row>
    <row r="38" spans="1:7" x14ac:dyDescent="0.25">
      <c r="A38" s="3"/>
      <c r="C38" s="9">
        <f t="shared" si="2"/>
        <v>4</v>
      </c>
      <c r="D38" s="10">
        <v>0.70199999999999996</v>
      </c>
      <c r="E38" s="10">
        <v>0.6</v>
      </c>
      <c r="F38" s="10">
        <f t="shared" si="3"/>
        <v>0.85470085470085477</v>
      </c>
    </row>
    <row r="39" spans="1:7" x14ac:dyDescent="0.25">
      <c r="A39" s="3"/>
      <c r="C39" s="9">
        <f t="shared" si="2"/>
        <v>5</v>
      </c>
      <c r="D39" s="10">
        <v>0.70799999999999996</v>
      </c>
      <c r="E39" s="10">
        <v>0.60799999999999998</v>
      </c>
      <c r="F39" s="10">
        <f t="shared" si="3"/>
        <v>0.85875706214689262</v>
      </c>
    </row>
    <row r="40" spans="1:7" x14ac:dyDescent="0.25">
      <c r="A40" s="3"/>
      <c r="C40" s="9">
        <f t="shared" si="2"/>
        <v>6</v>
      </c>
      <c r="D40" s="10">
        <v>0.69499999999999995</v>
      </c>
      <c r="E40" s="10">
        <v>0.60399999999999998</v>
      </c>
      <c r="F40" s="10">
        <f t="shared" si="3"/>
        <v>0.86906474820143886</v>
      </c>
    </row>
    <row r="41" spans="1:7" x14ac:dyDescent="0.25">
      <c r="A41" s="3"/>
      <c r="C41" s="9">
        <f t="shared" si="2"/>
        <v>7</v>
      </c>
      <c r="D41" s="10">
        <v>0.70899999999999996</v>
      </c>
      <c r="E41" s="10">
        <v>0.61099999999999999</v>
      </c>
      <c r="F41" s="10">
        <f t="shared" si="3"/>
        <v>0.8617771509167842</v>
      </c>
    </row>
    <row r="42" spans="1:7" x14ac:dyDescent="0.25">
      <c r="A42" s="3"/>
      <c r="C42" s="9">
        <f t="shared" si="2"/>
        <v>8</v>
      </c>
      <c r="D42" s="10">
        <v>0.71399999999999997</v>
      </c>
      <c r="E42" s="10">
        <v>0.61399999999999999</v>
      </c>
      <c r="F42" s="10">
        <f t="shared" si="3"/>
        <v>0.85994397759103647</v>
      </c>
    </row>
    <row r="43" spans="1:7" x14ac:dyDescent="0.25">
      <c r="A43" s="3"/>
      <c r="C43" s="9">
        <f t="shared" si="2"/>
        <v>9</v>
      </c>
      <c r="D43" s="10">
        <v>0.68899999999999995</v>
      </c>
      <c r="E43" s="10">
        <v>0.59099999999999997</v>
      </c>
      <c r="F43" s="10">
        <f t="shared" si="3"/>
        <v>0.85776487663280121</v>
      </c>
    </row>
    <row r="44" spans="1:7" x14ac:dyDescent="0.25">
      <c r="A44" s="3"/>
      <c r="C44" s="9">
        <f t="shared" si="2"/>
        <v>10</v>
      </c>
      <c r="D44" s="10">
        <v>0.70499999999999996</v>
      </c>
      <c r="E44" s="10">
        <v>0.60899999999999999</v>
      </c>
      <c r="F44" s="10">
        <f t="shared" si="3"/>
        <v>0.86382978723404258</v>
      </c>
    </row>
    <row r="45" spans="1:7" x14ac:dyDescent="0.25">
      <c r="A45" s="3"/>
    </row>
    <row r="46" spans="1:7" x14ac:dyDescent="0.25">
      <c r="A46" s="3"/>
      <c r="C46" s="3"/>
      <c r="D46" s="3"/>
      <c r="E46" s="12" t="s">
        <v>5</v>
      </c>
      <c r="F46" s="13">
        <f>AVERAGE(F35:F44)</f>
        <v>0.85871418178688419</v>
      </c>
      <c r="G46" s="3" t="s">
        <v>17</v>
      </c>
    </row>
    <row r="47" spans="1:7" x14ac:dyDescent="0.25">
      <c r="A47" s="3"/>
      <c r="C47" s="3"/>
      <c r="D47" s="3"/>
      <c r="E47" s="12"/>
      <c r="F47" s="14"/>
      <c r="G47" s="3"/>
    </row>
    <row r="48" spans="1:7" x14ac:dyDescent="0.25">
      <c r="A48" s="3"/>
      <c r="C48" s="3"/>
      <c r="D48" s="3"/>
      <c r="E48" s="12" t="s">
        <v>6</v>
      </c>
      <c r="F48" s="15">
        <f>_xlfn.STDEV.S(F35:F44)</f>
        <v>7.9968423382634195E-3</v>
      </c>
      <c r="G48" s="3" t="s">
        <v>17</v>
      </c>
    </row>
    <row r="49" spans="1:7" x14ac:dyDescent="0.25">
      <c r="A49" s="3"/>
      <c r="C49" s="3"/>
      <c r="D49" s="3"/>
      <c r="E49" s="12"/>
    </row>
    <row r="50" spans="1:7" x14ac:dyDescent="0.25">
      <c r="A50" s="3"/>
      <c r="C50" s="3"/>
      <c r="D50" s="3"/>
      <c r="E50" s="12" t="s">
        <v>7</v>
      </c>
      <c r="F50" s="13">
        <f>F48/SQRT(10)</f>
        <v>2.5288235878179076E-3</v>
      </c>
      <c r="G50" s="1" t="s">
        <v>17</v>
      </c>
    </row>
    <row r="51" spans="1:7" x14ac:dyDescent="0.25">
      <c r="A51" s="3"/>
      <c r="C51" s="12"/>
    </row>
    <row r="52" spans="1:7" x14ac:dyDescent="0.25">
      <c r="A52" s="3"/>
      <c r="C52" s="12"/>
      <c r="D52" s="3"/>
    </row>
    <row r="54" spans="1:7" x14ac:dyDescent="0.25">
      <c r="B54" s="7" t="s">
        <v>9</v>
      </c>
    </row>
    <row r="55" spans="1:7" x14ac:dyDescent="0.25">
      <c r="A55" s="3"/>
      <c r="C55" s="8"/>
    </row>
    <row r="56" spans="1:7" x14ac:dyDescent="0.25">
      <c r="A56" s="3"/>
      <c r="C56" s="9" t="s">
        <v>4</v>
      </c>
      <c r="D56" s="9" t="s">
        <v>14</v>
      </c>
      <c r="E56" s="9" t="s">
        <v>15</v>
      </c>
      <c r="F56" s="9" t="s">
        <v>16</v>
      </c>
    </row>
    <row r="57" spans="1:7" x14ac:dyDescent="0.25">
      <c r="A57" s="3"/>
      <c r="C57" s="9">
        <v>1</v>
      </c>
      <c r="D57" s="17">
        <v>0.90900000000000003</v>
      </c>
      <c r="E57" s="10">
        <v>0.79100000000000004</v>
      </c>
      <c r="F57" s="10">
        <f>E57/D57</f>
        <v>0.87018701870187021</v>
      </c>
    </row>
    <row r="58" spans="1:7" ht="15.6" thickBot="1" x14ac:dyDescent="0.3">
      <c r="A58" s="3"/>
      <c r="C58" s="9">
        <f t="shared" ref="C58:C66" si="4">C57+1</f>
        <v>2</v>
      </c>
      <c r="D58" s="10">
        <v>0.91100000000000003</v>
      </c>
      <c r="E58" s="10">
        <v>0.78700000000000003</v>
      </c>
      <c r="F58" s="10">
        <f t="shared" ref="F58:F66" si="5">E58/D58</f>
        <v>0.8638858397365532</v>
      </c>
    </row>
    <row r="59" spans="1:7" ht="15.6" thickBot="1" x14ac:dyDescent="0.3">
      <c r="A59" s="3"/>
      <c r="C59" s="11">
        <f t="shared" si="4"/>
        <v>3</v>
      </c>
      <c r="D59" s="16">
        <v>0.90700000000000003</v>
      </c>
      <c r="E59" s="16">
        <v>0.78200000000000003</v>
      </c>
      <c r="F59" s="10">
        <f>E59/D59</f>
        <v>0.86218302094818078</v>
      </c>
    </row>
    <row r="60" spans="1:7" ht="15.6" thickBot="1" x14ac:dyDescent="0.3">
      <c r="A60" s="3"/>
      <c r="C60" s="9">
        <f t="shared" si="4"/>
        <v>4</v>
      </c>
      <c r="D60" s="10">
        <v>0.89900000000000002</v>
      </c>
      <c r="E60" s="10">
        <v>0.79900000000000004</v>
      </c>
      <c r="F60" s="10">
        <f>E60/D60</f>
        <v>0.88876529477196886</v>
      </c>
    </row>
    <row r="61" spans="1:7" ht="15.6" thickBot="1" x14ac:dyDescent="0.3">
      <c r="A61" s="3"/>
      <c r="C61" s="9">
        <f t="shared" si="4"/>
        <v>5</v>
      </c>
      <c r="D61" s="10">
        <v>0.91100000000000003</v>
      </c>
      <c r="E61" s="10">
        <v>0.78800000000000003</v>
      </c>
      <c r="F61" s="10">
        <f t="shared" si="5"/>
        <v>0.86498353457738753</v>
      </c>
    </row>
    <row r="62" spans="1:7" x14ac:dyDescent="0.25">
      <c r="A62" s="3"/>
      <c r="C62" s="9">
        <f t="shared" si="4"/>
        <v>6</v>
      </c>
      <c r="D62" s="10">
        <v>0.92200000000000004</v>
      </c>
      <c r="E62" s="10">
        <v>0.80100000000000005</v>
      </c>
      <c r="F62" s="10">
        <f t="shared" si="5"/>
        <v>0.86876355748373102</v>
      </c>
    </row>
    <row r="63" spans="1:7" x14ac:dyDescent="0.25">
      <c r="A63" s="3"/>
      <c r="C63" s="9">
        <f t="shared" si="4"/>
        <v>7</v>
      </c>
      <c r="D63" s="10">
        <v>0.91200000000000003</v>
      </c>
      <c r="E63" s="10">
        <v>0.79500000000000004</v>
      </c>
      <c r="F63" s="10">
        <f t="shared" si="5"/>
        <v>0.87171052631578949</v>
      </c>
    </row>
    <row r="64" spans="1:7" x14ac:dyDescent="0.25">
      <c r="A64" s="3"/>
      <c r="C64" s="9">
        <f t="shared" si="4"/>
        <v>8</v>
      </c>
      <c r="D64" s="10">
        <v>0.90800000000000003</v>
      </c>
      <c r="E64" s="10">
        <v>0.78</v>
      </c>
      <c r="F64" s="10">
        <f t="shared" si="5"/>
        <v>0.8590308370044053</v>
      </c>
    </row>
    <row r="65" spans="1:7" x14ac:dyDescent="0.25">
      <c r="A65" s="3"/>
      <c r="C65" s="9">
        <f t="shared" si="4"/>
        <v>9</v>
      </c>
      <c r="D65" s="10">
        <v>0.91700000000000004</v>
      </c>
      <c r="E65" s="10">
        <v>0.80200000000000005</v>
      </c>
      <c r="F65" s="10">
        <f t="shared" si="5"/>
        <v>0.87459105779716473</v>
      </c>
    </row>
    <row r="66" spans="1:7" x14ac:dyDescent="0.25">
      <c r="A66" s="3"/>
      <c r="C66" s="9">
        <f t="shared" si="4"/>
        <v>10</v>
      </c>
      <c r="D66" s="10">
        <v>0.90500000000000003</v>
      </c>
      <c r="E66" s="10">
        <v>0.78700000000000003</v>
      </c>
      <c r="F66" s="10">
        <f t="shared" si="5"/>
        <v>0.86961325966850833</v>
      </c>
    </row>
    <row r="67" spans="1:7" x14ac:dyDescent="0.25">
      <c r="A67" s="3"/>
    </row>
    <row r="68" spans="1:7" x14ac:dyDescent="0.25">
      <c r="A68" s="3"/>
      <c r="C68" s="3"/>
      <c r="D68" s="3"/>
      <c r="E68" s="12" t="s">
        <v>5</v>
      </c>
      <c r="F68" s="13">
        <f>AVERAGE(F57:F66)</f>
        <v>0.86937139470055591</v>
      </c>
      <c r="G68" s="3" t="s">
        <v>17</v>
      </c>
    </row>
    <row r="69" spans="1:7" x14ac:dyDescent="0.25">
      <c r="A69" s="3"/>
      <c r="C69" s="3"/>
      <c r="D69" s="3"/>
      <c r="E69" s="12"/>
      <c r="F69" s="14"/>
      <c r="G69" s="3"/>
    </row>
    <row r="70" spans="1:7" x14ac:dyDescent="0.25">
      <c r="A70" s="3"/>
      <c r="C70" s="3"/>
      <c r="D70" s="3"/>
      <c r="E70" s="12" t="s">
        <v>6</v>
      </c>
      <c r="F70" s="15">
        <f>_xlfn.STDEV.S(F57:F66)</f>
        <v>8.2857137236107114E-3</v>
      </c>
      <c r="G70" s="3" t="s">
        <v>17</v>
      </c>
    </row>
    <row r="71" spans="1:7" x14ac:dyDescent="0.25">
      <c r="A71" s="3"/>
      <c r="C71" s="3"/>
      <c r="D71" s="3"/>
      <c r="E71" s="12"/>
    </row>
    <row r="72" spans="1:7" x14ac:dyDescent="0.25">
      <c r="A72" s="3"/>
      <c r="C72" s="3"/>
      <c r="D72" s="3"/>
      <c r="E72" s="12" t="s">
        <v>7</v>
      </c>
      <c r="F72" s="13">
        <f>F70/SQRT(10)</f>
        <v>2.6201727406724709E-3</v>
      </c>
      <c r="G72" s="1" t="s">
        <v>17</v>
      </c>
    </row>
    <row r="76" spans="1:7" x14ac:dyDescent="0.25">
      <c r="B76" s="7" t="s">
        <v>10</v>
      </c>
    </row>
    <row r="78" spans="1:7" x14ac:dyDescent="0.25">
      <c r="C78" s="12" t="s">
        <v>11</v>
      </c>
      <c r="D78" s="9">
        <v>0.85099999999999998</v>
      </c>
      <c r="E78" s="1" t="s">
        <v>17</v>
      </c>
    </row>
  </sheetData>
  <mergeCells count="3">
    <mergeCell ref="B2:E2"/>
    <mergeCell ref="C4:E4"/>
    <mergeCell ref="C6:E6"/>
  </mergeCells>
  <pageMargins left="0.78749999999999998" right="0.78749999999999998" top="1.0263888888888899" bottom="1.0249999999999999" header="0.78749999999999998" footer="0.78749999999999998"/>
  <pageSetup orientation="portrait" useFirstPageNumber="1" horizontalDpi="300" verticalDpi="300" r:id="rId1"/>
  <headerFooter>
    <oddHeader>&amp;LPHYS 2211&amp;CStatistics and Error Analysis&amp;RLab 01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Devin Fromond</dc:creator>
  <dc:description/>
  <cp:lastModifiedBy>Devin Fromond</cp:lastModifiedBy>
  <cp:revision>10</cp:revision>
  <dcterms:created xsi:type="dcterms:W3CDTF">2017-08-29T14:16:48Z</dcterms:created>
  <dcterms:modified xsi:type="dcterms:W3CDTF">2023-02-24T01:02:15Z</dcterms:modified>
  <dc:language>en-US</dc:language>
</cp:coreProperties>
</file>