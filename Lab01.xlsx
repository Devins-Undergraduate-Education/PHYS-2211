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n\OneDrive\Documents\"/>
    </mc:Choice>
  </mc:AlternateContent>
  <xr:revisionPtr revIDLastSave="0" documentId="13_ncr:1_{26B5C79D-97B9-4C8A-9BC6-FB76CD98EAF7}" xr6:coauthVersionLast="47" xr6:coauthVersionMax="47" xr10:uidLastSave="{00000000-0000-0000-0000-000000000000}"/>
  <bookViews>
    <workbookView xWindow="-108" yWindow="-108" windowWidth="23256" windowHeight="12456" tabRatio="14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19" i="1"/>
  <c r="B17" i="1"/>
  <c r="B18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</calcChain>
</file>

<file path=xl/sharedStrings.xml><?xml version="1.0" encoding="utf-8"?>
<sst xmlns="http://schemas.openxmlformats.org/spreadsheetml/2006/main" count="25" uniqueCount="24">
  <si>
    <t>Lab 01 – Statistics and Error Analysis</t>
  </si>
  <si>
    <t>Your Name:</t>
  </si>
  <si>
    <t>Partner(s):</t>
  </si>
  <si>
    <r>
      <t>Separation,</t>
    </r>
    <r>
      <rPr>
        <i/>
        <sz val="12"/>
        <rFont val="Arial"/>
        <family val="2"/>
      </rPr>
      <t>S</t>
    </r>
    <r>
      <rPr>
        <sz val="12"/>
        <rFont val="Arial"/>
        <family val="2"/>
      </rPr>
      <t>, of track supports:</t>
    </r>
  </si>
  <si>
    <r>
      <t>Height,</t>
    </r>
    <r>
      <rPr>
        <i/>
        <sz val="12"/>
        <rFont val="Arial"/>
        <family val="2"/>
      </rPr>
      <t>h</t>
    </r>
    <r>
      <rPr>
        <sz val="12"/>
        <rFont val="Arial"/>
        <family val="2"/>
      </rPr>
      <t>, of riser block:</t>
    </r>
  </si>
  <si>
    <r>
      <t>Distance,</t>
    </r>
    <r>
      <rPr>
        <i/>
        <sz val="12"/>
        <rFont val="Arial"/>
        <family val="2"/>
      </rPr>
      <t>d</t>
    </r>
    <r>
      <rPr>
        <sz val="12"/>
        <rFont val="Arial"/>
        <family val="2"/>
      </rPr>
      <t>, of cart travel:</t>
    </r>
  </si>
  <si>
    <t>Rolling Cart</t>
  </si>
  <si>
    <t>Trial #</t>
  </si>
  <si>
    <t>NA</t>
  </si>
  <si>
    <t>(by hand)</t>
  </si>
  <si>
    <t>How many trials were needed for the standard deviation to approach a constant?</t>
  </si>
  <si>
    <t>What is the result of this experiment (average ± standard error)?</t>
  </si>
  <si>
    <t>±</t>
  </si>
  <si>
    <t>Devin Fromond</t>
  </si>
  <si>
    <t>Carlos Hernendez, Evan Romero</t>
  </si>
  <si>
    <t>Std Dev (s)</t>
  </si>
  <si>
    <t>Time (s)</t>
  </si>
  <si>
    <t>2.770 s</t>
  </si>
  <si>
    <t>0.004 s</t>
  </si>
  <si>
    <t>2.40 s</t>
  </si>
  <si>
    <t>Theoretical Time:</t>
  </si>
  <si>
    <t>1.08 m</t>
  </si>
  <si>
    <t>0.047 m</t>
  </si>
  <si>
    <t>1.225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</si>
</sst>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3" fontId="1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44"/>
  <sheetViews>
    <sheetView tabSelected="1" zoomScale="70" zoomScaleNormal="100" workbookViewId="0">
      <selection activeCell="F37" sqref="F37"/>
    </sheetView>
  </sheetViews>
  <sheetFormatPr defaultRowHeight="15" x14ac:dyDescent="0.25"/>
  <cols>
    <col min="1" max="5" width="19.44140625" style="2"/>
    <col min="6" max="1025" width="11.5546875" style="2"/>
  </cols>
  <sheetData>
    <row r="1" spans="2:5" ht="17.399999999999999" x14ac:dyDescent="0.25">
      <c r="B1" s="1"/>
      <c r="C1"/>
    </row>
    <row r="2" spans="2:5" ht="17.399999999999999" x14ac:dyDescent="0.25">
      <c r="B2" s="10" t="s">
        <v>0</v>
      </c>
      <c r="C2" s="10"/>
      <c r="D2" s="10"/>
      <c r="E2" s="10"/>
    </row>
    <row r="3" spans="2:5" ht="15.6" x14ac:dyDescent="0.3">
      <c r="B3" s="3"/>
      <c r="C3"/>
    </row>
    <row r="4" spans="2:5" ht="15.6" x14ac:dyDescent="0.3">
      <c r="B4" s="3" t="s">
        <v>1</v>
      </c>
      <c r="C4" s="11" t="s">
        <v>13</v>
      </c>
      <c r="D4" s="11"/>
      <c r="E4" s="11"/>
    </row>
    <row r="5" spans="2:5" ht="15.6" x14ac:dyDescent="0.3">
      <c r="B5" s="3"/>
    </row>
    <row r="6" spans="2:5" ht="15.6" x14ac:dyDescent="0.3">
      <c r="B6" s="3" t="s">
        <v>2</v>
      </c>
      <c r="C6" s="11" t="s">
        <v>14</v>
      </c>
      <c r="D6" s="11"/>
      <c r="E6" s="11"/>
    </row>
    <row r="7" spans="2:5" ht="15.6" thickBot="1" x14ac:dyDescent="0.3"/>
    <row r="8" spans="2:5" ht="16.2" thickBot="1" x14ac:dyDescent="0.35">
      <c r="C8" s="4" t="s">
        <v>3</v>
      </c>
      <c r="D8" s="5" t="s">
        <v>21</v>
      </c>
      <c r="E8"/>
    </row>
    <row r="9" spans="2:5" ht="15.6" thickBot="1" x14ac:dyDescent="0.3">
      <c r="C9" s="4"/>
      <c r="D9" s="7"/>
      <c r="E9"/>
    </row>
    <row r="10" spans="2:5" ht="16.2" thickBot="1" x14ac:dyDescent="0.35">
      <c r="C10" s="4" t="s">
        <v>4</v>
      </c>
      <c r="D10" s="5" t="s">
        <v>22</v>
      </c>
      <c r="E10"/>
    </row>
    <row r="11" spans="2:5" ht="15.6" thickBot="1" x14ac:dyDescent="0.3">
      <c r="C11" s="4"/>
      <c r="D11" s="7"/>
      <c r="E11"/>
    </row>
    <row r="12" spans="2:5" ht="16.2" thickBot="1" x14ac:dyDescent="0.35">
      <c r="C12" s="4" t="s">
        <v>5</v>
      </c>
      <c r="D12" s="5" t="s">
        <v>23</v>
      </c>
      <c r="E12"/>
    </row>
    <row r="14" spans="2:5" ht="15.6" x14ac:dyDescent="0.25">
      <c r="B14" s="12" t="s">
        <v>6</v>
      </c>
      <c r="C14" s="12"/>
      <c r="D14" s="12"/>
    </row>
    <row r="15" spans="2:5" x14ac:dyDescent="0.25">
      <c r="B15" s="5" t="s">
        <v>7</v>
      </c>
      <c r="C15" s="5" t="s">
        <v>16</v>
      </c>
      <c r="D15" s="5" t="s">
        <v>15</v>
      </c>
    </row>
    <row r="16" spans="2:5" x14ac:dyDescent="0.25">
      <c r="B16" s="5">
        <v>1</v>
      </c>
      <c r="C16" s="5">
        <v>2.86</v>
      </c>
      <c r="D16" s="5" t="s">
        <v>8</v>
      </c>
    </row>
    <row r="17" spans="2:8" ht="15.6" thickBot="1" x14ac:dyDescent="0.3">
      <c r="B17" s="5">
        <f>B16+1</f>
        <v>2</v>
      </c>
      <c r="C17" s="5">
        <v>2.82</v>
      </c>
      <c r="D17" s="5">
        <v>2.8000000000000001E-2</v>
      </c>
      <c r="E17" s="2" t="s">
        <v>9</v>
      </c>
    </row>
    <row r="18" spans="2:8" ht="15.6" thickBot="1" x14ac:dyDescent="0.3">
      <c r="B18" s="13">
        <f>B17+1</f>
        <v>3</v>
      </c>
      <c r="C18" s="14">
        <v>2.75</v>
      </c>
      <c r="D18" s="5">
        <v>5.8000000000000003E-2</v>
      </c>
      <c r="E18" s="2" t="s">
        <v>9</v>
      </c>
    </row>
    <row r="19" spans="2:8" ht="15.6" thickBot="1" x14ac:dyDescent="0.3">
      <c r="B19" s="13"/>
      <c r="C19" s="15"/>
      <c r="D19" s="9">
        <f>_xlfn.STDEV.S(C$16:C19)</f>
        <v>5.5677643628300154E-2</v>
      </c>
    </row>
    <row r="20" spans="2:8" ht="15.6" thickBot="1" x14ac:dyDescent="0.3">
      <c r="B20" s="5">
        <f>B18+1</f>
        <v>4</v>
      </c>
      <c r="C20" s="5">
        <v>2.84</v>
      </c>
      <c r="D20" s="9">
        <f>_xlfn.STDEV.S(C$16:C20)</f>
        <v>4.7871355387816845E-2</v>
      </c>
    </row>
    <row r="21" spans="2:8" x14ac:dyDescent="0.25">
      <c r="B21" s="5">
        <f t="shared" ref="B21:B36" si="0">B20+1</f>
        <v>5</v>
      </c>
      <c r="C21" s="5">
        <v>2.86</v>
      </c>
      <c r="D21" s="9">
        <f>_xlfn.STDEV.S(C$16:C21)</f>
        <v>4.5607017003965467E-2</v>
      </c>
    </row>
    <row r="22" spans="2:8" x14ac:dyDescent="0.25">
      <c r="B22" s="5">
        <f t="shared" si="0"/>
        <v>6</v>
      </c>
      <c r="C22" s="5">
        <v>2.73</v>
      </c>
      <c r="D22" s="9">
        <f>_xlfn.STDEV.S(C$16:C22)</f>
        <v>5.656854249492374E-2</v>
      </c>
    </row>
    <row r="23" spans="2:8" x14ac:dyDescent="0.25">
      <c r="B23" s="5">
        <f t="shared" si="0"/>
        <v>7</v>
      </c>
      <c r="C23" s="5">
        <v>2.72</v>
      </c>
      <c r="D23" s="9">
        <f>_xlfn.STDEV.S(C$16:C23)</f>
        <v>6.1836959205717017E-2</v>
      </c>
    </row>
    <row r="24" spans="2:8" x14ac:dyDescent="0.25">
      <c r="B24" s="5">
        <f t="shared" si="0"/>
        <v>8</v>
      </c>
      <c r="C24" s="5">
        <v>2.69</v>
      </c>
      <c r="D24" s="9">
        <f>_xlfn.STDEV.S(C$16:C24)</f>
        <v>6.8647651088729819E-2</v>
      </c>
    </row>
    <row r="25" spans="2:8" x14ac:dyDescent="0.25">
      <c r="B25" s="5">
        <f t="shared" si="0"/>
        <v>9</v>
      </c>
      <c r="C25" s="5">
        <v>2.71</v>
      </c>
      <c r="D25" s="9">
        <f>_xlfn.STDEV.S(C$16:C25)</f>
        <v>6.8758837815787482E-2</v>
      </c>
      <c r="H25" s="8"/>
    </row>
    <row r="26" spans="2:8" x14ac:dyDescent="0.25">
      <c r="B26" s="5">
        <f t="shared" si="0"/>
        <v>10</v>
      </c>
      <c r="C26" s="5">
        <v>2.82</v>
      </c>
      <c r="D26" s="9">
        <f>_xlfn.STDEV.S(C$16:C26)</f>
        <v>6.6332495807107927E-2</v>
      </c>
    </row>
    <row r="27" spans="2:8" x14ac:dyDescent="0.25">
      <c r="B27" s="5">
        <f t="shared" si="0"/>
        <v>11</v>
      </c>
      <c r="C27" s="5">
        <v>2.67</v>
      </c>
      <c r="D27" s="9">
        <f>_xlfn.STDEV.S(C$16:C27)</f>
        <v>7.1133676975114898E-2</v>
      </c>
    </row>
    <row r="28" spans="2:8" x14ac:dyDescent="0.25">
      <c r="B28" s="5">
        <f t="shared" si="0"/>
        <v>12</v>
      </c>
      <c r="C28" s="5">
        <v>2.61</v>
      </c>
      <c r="D28" s="9">
        <f>_xlfn.STDEV.S(C$16:C28)</f>
        <v>8.2056890833941104E-2</v>
      </c>
    </row>
    <row r="29" spans="2:8" x14ac:dyDescent="0.25">
      <c r="B29" s="5">
        <f t="shared" si="0"/>
        <v>13</v>
      </c>
      <c r="C29" s="5">
        <v>2.71</v>
      </c>
      <c r="D29" s="9">
        <f>_xlfn.STDEV.S(C$16:C29)</f>
        <v>7.9622506803940701E-2</v>
      </c>
    </row>
    <row r="30" spans="2:8" x14ac:dyDescent="0.25">
      <c r="B30" s="5">
        <f t="shared" si="0"/>
        <v>14</v>
      </c>
      <c r="C30" s="5">
        <v>2.82</v>
      </c>
      <c r="D30" s="9">
        <f>_xlfn.STDEV.S(C$16:C30)</f>
        <v>7.8561937488697511E-2</v>
      </c>
    </row>
    <row r="31" spans="2:8" x14ac:dyDescent="0.25">
      <c r="B31" s="5">
        <f t="shared" si="0"/>
        <v>15</v>
      </c>
      <c r="C31" s="5">
        <v>2.81</v>
      </c>
      <c r="D31" s="9">
        <f>_xlfn.STDEV.S(C$16:C31)</f>
        <v>7.6892008377860352E-2</v>
      </c>
    </row>
    <row r="32" spans="2:8" x14ac:dyDescent="0.25">
      <c r="B32" s="5">
        <f t="shared" si="0"/>
        <v>16</v>
      </c>
      <c r="C32" s="5">
        <v>2.81</v>
      </c>
      <c r="D32" s="9">
        <f>_xlfn.STDEV.S(C$16:C32)</f>
        <v>7.5274497673514865E-2</v>
      </c>
    </row>
    <row r="33" spans="2:5" x14ac:dyDescent="0.25">
      <c r="B33" s="5">
        <f t="shared" si="0"/>
        <v>17</v>
      </c>
      <c r="C33" s="5">
        <v>2.78</v>
      </c>
      <c r="D33" s="9">
        <f>_xlfn.STDEV.S(C$16:C33)</f>
        <v>7.2982673205599216E-2</v>
      </c>
    </row>
    <row r="34" spans="2:5" x14ac:dyDescent="0.25">
      <c r="B34" s="5">
        <f t="shared" si="0"/>
        <v>18</v>
      </c>
      <c r="C34" s="5">
        <v>2.8</v>
      </c>
      <c r="D34" s="9">
        <f>_xlfn.STDEV.S(C$16:C34)</f>
        <v>7.1274577231135658E-2</v>
      </c>
    </row>
    <row r="35" spans="2:5" x14ac:dyDescent="0.25">
      <c r="B35" s="5">
        <f t="shared" si="0"/>
        <v>19</v>
      </c>
      <c r="C35" s="5">
        <v>2.67</v>
      </c>
      <c r="D35" s="9">
        <f>_xlfn.STDEV.S(C$16:C35)</f>
        <v>7.2768960672988159E-2</v>
      </c>
    </row>
    <row r="36" spans="2:5" x14ac:dyDescent="0.25">
      <c r="B36" s="5">
        <f t="shared" si="0"/>
        <v>20</v>
      </c>
      <c r="C36" s="5">
        <v>2.86</v>
      </c>
      <c r="D36" s="9">
        <f>_xlfn.STDEV.S(C$16:C36)</f>
        <v>7.4133592073257898E-2</v>
      </c>
    </row>
    <row r="38" spans="2:5" ht="15.6" thickBot="1" x14ac:dyDescent="0.3">
      <c r="B38" s="6" t="s">
        <v>10</v>
      </c>
      <c r="D38"/>
      <c r="E38"/>
    </row>
    <row r="39" spans="2:5" ht="15.6" thickBot="1" x14ac:dyDescent="0.3">
      <c r="B39" s="5">
        <v>15</v>
      </c>
      <c r="E39"/>
    </row>
    <row r="40" spans="2:5" x14ac:dyDescent="0.25">
      <c r="E40"/>
    </row>
    <row r="41" spans="2:5" ht="15.6" thickBot="1" x14ac:dyDescent="0.3">
      <c r="B41" s="6" t="s">
        <v>11</v>
      </c>
      <c r="E41"/>
    </row>
    <row r="42" spans="2:5" ht="15.6" thickBot="1" x14ac:dyDescent="0.3">
      <c r="B42" s="5" t="s">
        <v>17</v>
      </c>
      <c r="C42" s="7" t="s">
        <v>12</v>
      </c>
      <c r="D42" s="5" t="s">
        <v>18</v>
      </c>
      <c r="E42"/>
    </row>
    <row r="43" spans="2:5" x14ac:dyDescent="0.25">
      <c r="B43" s="7"/>
      <c r="C43" s="7"/>
      <c r="D43" s="7"/>
    </row>
    <row r="44" spans="2:5" ht="15.6" x14ac:dyDescent="0.3">
      <c r="B44" s="16" t="s">
        <v>20</v>
      </c>
      <c r="C44" s="17" t="s">
        <v>19</v>
      </c>
      <c r="D44" s="7"/>
    </row>
  </sheetData>
  <mergeCells count="6">
    <mergeCell ref="B2:E2"/>
    <mergeCell ref="C4:E4"/>
    <mergeCell ref="C6:E6"/>
    <mergeCell ref="B14:D14"/>
    <mergeCell ref="B18:B19"/>
    <mergeCell ref="C18:C19"/>
  </mergeCells>
  <pageMargins left="0.78749999999999998" right="0.78749999999999998" top="1.0263888888888899" bottom="1.0249999999999999" header="0.78749999999999998" footer="0.78749999999999998"/>
  <pageSetup orientation="portrait" useFirstPageNumber="1" r:id="rId1"/>
  <headerFooter>
    <oddHeader>&amp;LPHYS 2211&amp;CStatistics and Error Analysis&amp;RLab 01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1461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Fromond</dc:creator>
  <cp:lastModifiedBy>Devin Fromond</cp:lastModifiedBy>
  <cp:revision>6</cp:revision>
  <dcterms:created xsi:type="dcterms:W3CDTF">2017-08-29T14:16:48Z</dcterms:created>
  <dcterms:modified xsi:type="dcterms:W3CDTF">2023-01-20T00:53:59Z</dcterms:modified>
  <dc:language>en-US</dc:language>
</cp:coreProperties>
</file>