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3e56d739c463302/Documents/Georgia Tech/PHYS 2211/"/>
    </mc:Choice>
  </mc:AlternateContent>
  <xr:revisionPtr revIDLastSave="9" documentId="8_{C8EB1972-AF19-40AE-BDCA-A2010F7B56BB}" xr6:coauthVersionLast="47" xr6:coauthVersionMax="47" xr10:uidLastSave="{0C64EBA4-021D-4DC3-8409-6B3DE5C939AC}"/>
  <bookViews>
    <workbookView xWindow="924" yWindow="0" windowWidth="17280" windowHeight="8880" tabRatio="141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2" i="1" l="1"/>
  <c r="D28" i="1"/>
  <c r="E64" i="1"/>
  <c r="C64" i="1"/>
  <c r="E62" i="1"/>
  <c r="D56" i="1"/>
  <c r="D32" i="1"/>
  <c r="D54" i="1"/>
  <c r="D52" i="1"/>
  <c r="D30" i="1"/>
  <c r="C43" i="1"/>
  <c r="C44" i="1" s="1"/>
  <c r="C45" i="1" s="1"/>
  <c r="C46" i="1" s="1"/>
  <c r="C47" i="1" s="1"/>
  <c r="C48" i="1" s="1"/>
  <c r="C49" i="1" s="1"/>
  <c r="C50" i="1" s="1"/>
  <c r="C42" i="1"/>
  <c r="C18" i="1"/>
  <c r="C19" i="1" s="1"/>
  <c r="C20" i="1" s="1"/>
  <c r="C21" i="1" s="1"/>
  <c r="C22" i="1" s="1"/>
  <c r="C23" i="1" s="1"/>
  <c r="C24" i="1" s="1"/>
  <c r="C25" i="1" s="1"/>
  <c r="C26" i="1" s="1"/>
</calcChain>
</file>

<file path=xl/sharedStrings.xml><?xml version="1.0" encoding="utf-8"?>
<sst xmlns="http://schemas.openxmlformats.org/spreadsheetml/2006/main" count="36" uniqueCount="23">
  <si>
    <t>Lab 02 – Gravitational Acceleration</t>
  </si>
  <si>
    <t>Your Name:</t>
  </si>
  <si>
    <t>Partner(s):</t>
  </si>
  <si>
    <r>
      <t>Separation,</t>
    </r>
    <r>
      <rPr>
        <i/>
        <sz val="12"/>
        <rFont val="Arial"/>
        <family val="2"/>
        <charset val="1"/>
      </rPr>
      <t>S</t>
    </r>
    <r>
      <rPr>
        <sz val="12"/>
        <rFont val="Arial"/>
        <family val="2"/>
        <charset val="1"/>
      </rPr>
      <t>, of track supports:</t>
    </r>
  </si>
  <si>
    <t>Experiment 1 – Minimum Slope</t>
  </si>
  <si>
    <r>
      <t>Height,</t>
    </r>
    <r>
      <rPr>
        <i/>
        <sz val="12"/>
        <rFont val="Arial"/>
        <family val="2"/>
        <charset val="1"/>
      </rPr>
      <t>h</t>
    </r>
    <r>
      <rPr>
        <sz val="12"/>
        <rFont val="Arial"/>
        <family val="2"/>
        <charset val="1"/>
      </rPr>
      <t>, of riser block:</t>
    </r>
  </si>
  <si>
    <t>Trial #</t>
  </si>
  <si>
    <t>Average:</t>
  </si>
  <si>
    <t>Standard Deviation:</t>
  </si>
  <si>
    <t>Standard Error:</t>
  </si>
  <si>
    <t>Experiment 2 – Maximum Slope</t>
  </si>
  <si>
    <t>Results</t>
  </si>
  <si>
    <r>
      <t>Minimum Slope,</t>
    </r>
    <r>
      <rPr>
        <i/>
        <sz val="12"/>
        <rFont val="Arial"/>
        <family val="2"/>
        <charset val="1"/>
      </rPr>
      <t>g</t>
    </r>
    <r>
      <rPr>
        <sz val="12"/>
        <rFont val="Arial"/>
        <family val="2"/>
        <charset val="1"/>
      </rPr>
      <t>=</t>
    </r>
  </si>
  <si>
    <r>
      <t>Maximum Slope,</t>
    </r>
    <r>
      <rPr>
        <i/>
        <sz val="12"/>
        <rFont val="Arial"/>
        <family val="2"/>
        <charset val="1"/>
      </rPr>
      <t>g</t>
    </r>
    <r>
      <rPr>
        <sz val="12"/>
        <rFont val="Arial"/>
        <family val="2"/>
        <charset val="1"/>
      </rPr>
      <t>=</t>
    </r>
  </si>
  <si>
    <t>Devin Fromond</t>
  </si>
  <si>
    <t>Carlos Hernendez, Evan Romero</t>
  </si>
  <si>
    <t>1.20 meters</t>
  </si>
  <si>
    <t>Acceleration (m/s/s)</t>
  </si>
  <si>
    <t>0.020 meters</t>
  </si>
  <si>
    <t>0.043 meters</t>
  </si>
  <si>
    <t>m/s/s</t>
  </si>
  <si>
    <r>
      <rPr>
        <sz val="14"/>
        <rFont val="Times New Roman"/>
        <family val="1"/>
      </rPr>
      <t xml:space="preserve">m/s/s </t>
    </r>
    <r>
      <rPr>
        <sz val="14"/>
        <color rgb="FF0000AA"/>
        <rFont val="Times New Roman"/>
        <family val="1"/>
        <charset val="1"/>
      </rPr>
      <t xml:space="preserve">             ±</t>
    </r>
  </si>
  <si>
    <r>
      <rPr>
        <sz val="14"/>
        <rFont val="Times New Roman"/>
        <family val="1"/>
      </rPr>
      <t xml:space="preserve">m/s/s  </t>
    </r>
    <r>
      <rPr>
        <sz val="14"/>
        <color rgb="FF0000AA"/>
        <rFont val="Times New Roman"/>
        <family val="1"/>
        <charset val="1"/>
      </rPr>
      <t xml:space="preserve">            ±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</si>
</sst>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8" x14ac:knownFonts="1">
    <font>
      <sz val="10"/>
      <name val="Arial"/>
      <family val="2"/>
      <charset val="1"/>
    </font>
    <font>
      <sz val="12"/>
      <name val="Arial"/>
      <family val="2"/>
      <charset val="1"/>
    </font>
    <font>
      <b/>
      <sz val="14"/>
      <name val="Arial"/>
      <family val="2"/>
      <charset val="1"/>
    </font>
    <font>
      <b/>
      <sz val="12"/>
      <name val="Arial"/>
      <family val="2"/>
      <charset val="1"/>
    </font>
    <font>
      <i/>
      <sz val="12"/>
      <name val="Arial"/>
      <family val="2"/>
      <charset val="1"/>
    </font>
    <font>
      <sz val="14"/>
      <color rgb="FF0000AA"/>
      <name val="Times New Roman"/>
      <family val="1"/>
      <charset val="1"/>
    </font>
    <font>
      <sz val="14"/>
      <name val="Times New Roman"/>
      <family val="1"/>
    </font>
    <font>
      <sz val="14"/>
      <color rgb="FF0000AA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 applyAlignment="1">
      <alignment horizontal="left" vertical="center"/>
    </xf>
    <xf numFmtId="0" fontId="1" fillId="0" borderId="1" xfId="0" applyFont="1" applyBorder="1"/>
    <xf numFmtId="0" fontId="2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Font="1"/>
    <xf numFmtId="0" fontId="1" fillId="0" borderId="0" xfId="0" applyFont="1" applyAlignment="1">
      <alignment horizontal="right"/>
    </xf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right"/>
    </xf>
    <xf numFmtId="0" fontId="1" fillId="0" borderId="0" xfId="0" applyFont="1" applyAlignment="1">
      <alignment horizontal="left"/>
    </xf>
    <xf numFmtId="164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right"/>
    </xf>
    <xf numFmtId="2" fontId="1" fillId="0" borderId="1" xfId="0" applyNumberFormat="1" applyFont="1" applyBorder="1" applyAlignment="1">
      <alignment horizontal="right"/>
    </xf>
    <xf numFmtId="165" fontId="1" fillId="0" borderId="1" xfId="0" applyNumberFormat="1" applyFont="1" applyBorder="1" applyAlignment="1">
      <alignment horizontal="right"/>
    </xf>
    <xf numFmtId="0" fontId="7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1" fillId="0" borderId="1" xfId="0" applyFont="1" applyBorder="1"/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AA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64"/>
  <sheetViews>
    <sheetView tabSelected="1" topLeftCell="A49" zoomScale="77" zoomScaleNormal="100" workbookViewId="0">
      <selection activeCell="E62" sqref="E62"/>
    </sheetView>
  </sheetViews>
  <sheetFormatPr defaultRowHeight="15" x14ac:dyDescent="0.25"/>
  <cols>
    <col min="1" max="3" width="19.44140625" style="4"/>
    <col min="4" max="4" width="21" style="4" customWidth="1"/>
    <col min="5" max="5" width="19.44140625" style="4"/>
    <col min="6" max="1025" width="11.5546875" style="4"/>
  </cols>
  <sheetData>
    <row r="1" spans="1:7" ht="17.399999999999999" x14ac:dyDescent="0.25">
      <c r="A1"/>
      <c r="B1" s="3"/>
      <c r="C1"/>
      <c r="D1"/>
      <c r="E1"/>
      <c r="F1"/>
      <c r="G1"/>
    </row>
    <row r="2" spans="1:7" ht="17.399999999999999" x14ac:dyDescent="0.25">
      <c r="A2"/>
      <c r="B2" s="18" t="s">
        <v>0</v>
      </c>
      <c r="C2" s="18"/>
      <c r="D2" s="18"/>
      <c r="E2" s="18"/>
      <c r="F2"/>
      <c r="G2"/>
    </row>
    <row r="3" spans="1:7" ht="15.6" x14ac:dyDescent="0.3">
      <c r="A3"/>
      <c r="B3" s="5"/>
      <c r="C3"/>
      <c r="D3"/>
      <c r="E3"/>
      <c r="F3"/>
      <c r="G3"/>
    </row>
    <row r="4" spans="1:7" ht="15.6" x14ac:dyDescent="0.3">
      <c r="A4"/>
      <c r="B4" s="5" t="s">
        <v>1</v>
      </c>
      <c r="C4" s="19" t="s">
        <v>14</v>
      </c>
      <c r="D4" s="19"/>
      <c r="E4" s="19"/>
      <c r="F4"/>
      <c r="G4"/>
    </row>
    <row r="5" spans="1:7" ht="15.6" x14ac:dyDescent="0.3">
      <c r="A5"/>
      <c r="B5" s="5"/>
      <c r="C5"/>
      <c r="D5"/>
      <c r="E5"/>
      <c r="F5"/>
      <c r="G5"/>
    </row>
    <row r="6" spans="1:7" ht="15.6" x14ac:dyDescent="0.3">
      <c r="A6"/>
      <c r="B6" s="5" t="s">
        <v>2</v>
      </c>
      <c r="C6" s="19" t="s">
        <v>15</v>
      </c>
      <c r="D6" s="19"/>
      <c r="E6" s="19"/>
      <c r="F6"/>
      <c r="G6"/>
    </row>
    <row r="7" spans="1:7" x14ac:dyDescent="0.25">
      <c r="A7"/>
      <c r="B7"/>
      <c r="C7"/>
      <c r="D7"/>
      <c r="E7"/>
      <c r="F7"/>
      <c r="G7"/>
    </row>
    <row r="8" spans="1:7" ht="15.6" x14ac:dyDescent="0.3">
      <c r="A8"/>
      <c r="B8"/>
      <c r="C8" s="6" t="s">
        <v>3</v>
      </c>
      <c r="D8" s="8" t="s">
        <v>16</v>
      </c>
      <c r="E8"/>
      <c r="F8"/>
      <c r="G8"/>
    </row>
    <row r="9" spans="1:7" x14ac:dyDescent="0.25">
      <c r="A9"/>
      <c r="B9"/>
      <c r="C9" s="6"/>
      <c r="D9"/>
      <c r="E9"/>
      <c r="F9"/>
      <c r="G9"/>
    </row>
    <row r="10" spans="1:7" x14ac:dyDescent="0.25">
      <c r="A10"/>
      <c r="B10"/>
      <c r="C10"/>
      <c r="D10"/>
      <c r="E10"/>
      <c r="F10"/>
      <c r="G10"/>
    </row>
    <row r="11" spans="1:7" x14ac:dyDescent="0.25">
      <c r="A11"/>
      <c r="B11"/>
      <c r="C11"/>
      <c r="D11"/>
      <c r="E11"/>
      <c r="F11"/>
      <c r="G11"/>
    </row>
    <row r="12" spans="1:7" ht="15.6" x14ac:dyDescent="0.25">
      <c r="A12"/>
      <c r="B12" s="1" t="s">
        <v>4</v>
      </c>
      <c r="C12"/>
      <c r="D12"/>
      <c r="E12"/>
      <c r="F12"/>
      <c r="G12"/>
    </row>
    <row r="13" spans="1:7" ht="15.6" x14ac:dyDescent="0.25">
      <c r="A13"/>
      <c r="B13" s="7"/>
      <c r="C13"/>
      <c r="D13"/>
      <c r="E13"/>
      <c r="F13"/>
      <c r="G13"/>
    </row>
    <row r="14" spans="1:7" ht="15.6" x14ac:dyDescent="0.3">
      <c r="A14"/>
      <c r="B14"/>
      <c r="C14" s="6" t="s">
        <v>5</v>
      </c>
      <c r="D14" s="8" t="s">
        <v>18</v>
      </c>
      <c r="E14"/>
      <c r="F14"/>
      <c r="G14"/>
    </row>
    <row r="15" spans="1:7" ht="15.6" x14ac:dyDescent="0.25">
      <c r="A15"/>
      <c r="B15"/>
      <c r="C15" s="7"/>
      <c r="D15"/>
      <c r="E15"/>
      <c r="F15"/>
      <c r="G15"/>
    </row>
    <row r="16" spans="1:7" x14ac:dyDescent="0.25">
      <c r="A16"/>
      <c r="B16"/>
      <c r="C16" s="8" t="s">
        <v>6</v>
      </c>
      <c r="D16" s="8" t="s">
        <v>17</v>
      </c>
      <c r="E16"/>
      <c r="F16"/>
      <c r="G16"/>
    </row>
    <row r="17" spans="1:7" x14ac:dyDescent="0.25">
      <c r="A17"/>
      <c r="B17"/>
      <c r="C17" s="8">
        <v>1</v>
      </c>
      <c r="D17" s="8">
        <v>0.159</v>
      </c>
      <c r="E17"/>
      <c r="F17"/>
      <c r="G17"/>
    </row>
    <row r="18" spans="1:7" x14ac:dyDescent="0.25">
      <c r="A18"/>
      <c r="B18"/>
      <c r="C18" s="8">
        <f t="shared" ref="C18:C26" si="0">C17+1</f>
        <v>2</v>
      </c>
      <c r="D18" s="12">
        <v>0.16</v>
      </c>
      <c r="E18"/>
      <c r="F18"/>
      <c r="G18"/>
    </row>
    <row r="19" spans="1:7" x14ac:dyDescent="0.25">
      <c r="A19"/>
      <c r="B19"/>
      <c r="C19" s="9">
        <f t="shared" si="0"/>
        <v>3</v>
      </c>
      <c r="D19" s="9">
        <v>0.16200000000000001</v>
      </c>
      <c r="E19"/>
      <c r="F19"/>
      <c r="G19"/>
    </row>
    <row r="20" spans="1:7" x14ac:dyDescent="0.25">
      <c r="A20"/>
      <c r="B20"/>
      <c r="C20" s="8">
        <f t="shared" si="0"/>
        <v>4</v>
      </c>
      <c r="D20" s="8">
        <v>0.158</v>
      </c>
      <c r="E20"/>
      <c r="F20"/>
      <c r="G20"/>
    </row>
    <row r="21" spans="1:7" x14ac:dyDescent="0.25">
      <c r="A21"/>
      <c r="B21"/>
      <c r="C21" s="8">
        <f t="shared" si="0"/>
        <v>5</v>
      </c>
      <c r="D21" s="8">
        <v>0.159</v>
      </c>
      <c r="E21"/>
      <c r="F21"/>
      <c r="G21"/>
    </row>
    <row r="22" spans="1:7" x14ac:dyDescent="0.25">
      <c r="A22"/>
      <c r="B22"/>
      <c r="C22" s="8">
        <f t="shared" si="0"/>
        <v>6</v>
      </c>
      <c r="D22" s="8">
        <v>0.16200000000000001</v>
      </c>
      <c r="E22"/>
      <c r="F22"/>
      <c r="G22"/>
    </row>
    <row r="23" spans="1:7" x14ac:dyDescent="0.25">
      <c r="A23"/>
      <c r="B23"/>
      <c r="C23" s="8">
        <f t="shared" si="0"/>
        <v>7</v>
      </c>
      <c r="D23" s="12">
        <v>0.16</v>
      </c>
      <c r="E23"/>
      <c r="F23"/>
      <c r="G23"/>
    </row>
    <row r="24" spans="1:7" x14ac:dyDescent="0.25">
      <c r="A24"/>
      <c r="B24"/>
      <c r="C24" s="8">
        <f t="shared" si="0"/>
        <v>8</v>
      </c>
      <c r="D24" s="8">
        <v>0.16200000000000001</v>
      </c>
      <c r="E24"/>
      <c r="F24"/>
      <c r="G24"/>
    </row>
    <row r="25" spans="1:7" x14ac:dyDescent="0.25">
      <c r="A25"/>
      <c r="B25"/>
      <c r="C25" s="8">
        <f t="shared" si="0"/>
        <v>9</v>
      </c>
      <c r="D25" s="8">
        <v>0.16200000000000001</v>
      </c>
      <c r="E25"/>
      <c r="F25"/>
      <c r="G25"/>
    </row>
    <row r="26" spans="1:7" x14ac:dyDescent="0.25">
      <c r="A26"/>
      <c r="B26"/>
      <c r="C26" s="8">
        <f t="shared" si="0"/>
        <v>10</v>
      </c>
      <c r="D26" s="8">
        <v>0.161</v>
      </c>
      <c r="E26"/>
      <c r="F26"/>
      <c r="G26"/>
    </row>
    <row r="27" spans="1:7" x14ac:dyDescent="0.25">
      <c r="A27"/>
      <c r="B27"/>
      <c r="C27"/>
      <c r="D27"/>
      <c r="E27"/>
      <c r="F27"/>
      <c r="G27"/>
    </row>
    <row r="28" spans="1:7" x14ac:dyDescent="0.25">
      <c r="A28"/>
      <c r="B28"/>
      <c r="C28" s="6" t="s">
        <v>7</v>
      </c>
      <c r="D28" s="10">
        <f>AVERAGE(D17:D26)</f>
        <v>0.1605</v>
      </c>
      <c r="E28" t="s">
        <v>20</v>
      </c>
      <c r="F28"/>
      <c r="G28"/>
    </row>
    <row r="29" spans="1:7" x14ac:dyDescent="0.25">
      <c r="A29"/>
      <c r="B29"/>
      <c r="C29" s="6"/>
      <c r="D29" s="11"/>
      <c r="E29"/>
      <c r="F29"/>
      <c r="G29"/>
    </row>
    <row r="30" spans="1:7" x14ac:dyDescent="0.25">
      <c r="A30"/>
      <c r="B30"/>
      <c r="C30" s="6" t="s">
        <v>8</v>
      </c>
      <c r="D30" s="14">
        <f>_xlfn.STDEV.S(D17:D26)</f>
        <v>1.5092308563562373E-3</v>
      </c>
      <c r="E30" t="s">
        <v>20</v>
      </c>
      <c r="F30"/>
      <c r="G30"/>
    </row>
    <row r="31" spans="1:7" x14ac:dyDescent="0.25">
      <c r="A31"/>
      <c r="B31"/>
      <c r="C31" s="6"/>
      <c r="D31"/>
      <c r="E31"/>
      <c r="F31"/>
      <c r="G31"/>
    </row>
    <row r="32" spans="1:7" x14ac:dyDescent="0.25">
      <c r="A32"/>
      <c r="B32"/>
      <c r="C32" s="6" t="s">
        <v>9</v>
      </c>
      <c r="D32" s="16">
        <f>D30/SQRT(C26)</f>
        <v>4.772607021092121E-4</v>
      </c>
      <c r="E32" t="s">
        <v>20</v>
      </c>
      <c r="F32"/>
      <c r="G32"/>
    </row>
    <row r="33" spans="1:7" x14ac:dyDescent="0.25">
      <c r="A33"/>
      <c r="B33"/>
      <c r="C33"/>
      <c r="D33"/>
      <c r="E33"/>
      <c r="F33"/>
      <c r="G33"/>
    </row>
    <row r="34" spans="1:7" x14ac:dyDescent="0.25">
      <c r="A34"/>
      <c r="B34"/>
      <c r="C34"/>
      <c r="D34"/>
      <c r="E34"/>
      <c r="F34"/>
      <c r="G34"/>
    </row>
    <row r="35" spans="1:7" x14ac:dyDescent="0.25">
      <c r="A35"/>
      <c r="B35"/>
      <c r="C35"/>
      <c r="D35"/>
      <c r="E35"/>
      <c r="F35"/>
      <c r="G35"/>
    </row>
    <row r="36" spans="1:7" ht="15.6" x14ac:dyDescent="0.25">
      <c r="A36"/>
      <c r="B36" s="1" t="s">
        <v>10</v>
      </c>
      <c r="C36"/>
      <c r="D36"/>
      <c r="E36"/>
      <c r="F36"/>
      <c r="G36"/>
    </row>
    <row r="37" spans="1:7" ht="15.6" x14ac:dyDescent="0.25">
      <c r="A37"/>
      <c r="B37" s="7"/>
      <c r="C37"/>
      <c r="D37"/>
      <c r="E37"/>
      <c r="F37"/>
      <c r="G37"/>
    </row>
    <row r="38" spans="1:7" ht="15.6" x14ac:dyDescent="0.3">
      <c r="A38"/>
      <c r="B38"/>
      <c r="C38" s="6" t="s">
        <v>5</v>
      </c>
      <c r="D38" s="2" t="s">
        <v>19</v>
      </c>
      <c r="E38"/>
      <c r="F38"/>
      <c r="G38"/>
    </row>
    <row r="39" spans="1:7" ht="15.6" x14ac:dyDescent="0.25">
      <c r="A39"/>
      <c r="B39"/>
      <c r="C39" s="7"/>
      <c r="D39"/>
      <c r="E39"/>
      <c r="F39"/>
      <c r="G39"/>
    </row>
    <row r="40" spans="1:7" x14ac:dyDescent="0.25">
      <c r="A40"/>
      <c r="B40"/>
      <c r="C40" s="8" t="s">
        <v>6</v>
      </c>
      <c r="D40" s="8" t="s">
        <v>17</v>
      </c>
      <c r="E40"/>
      <c r="F40"/>
      <c r="G40"/>
    </row>
    <row r="41" spans="1:7" x14ac:dyDescent="0.25">
      <c r="A41"/>
      <c r="B41"/>
      <c r="C41" s="8">
        <v>1</v>
      </c>
      <c r="D41" s="8">
        <v>0.34499999999999997</v>
      </c>
      <c r="E41"/>
      <c r="F41"/>
      <c r="G41"/>
    </row>
    <row r="42" spans="1:7" x14ac:dyDescent="0.25">
      <c r="A42"/>
      <c r="B42"/>
      <c r="C42" s="8">
        <f t="shared" ref="C42:C50" si="1">C41+1</f>
        <v>2</v>
      </c>
      <c r="D42" s="8">
        <v>0.34799999999999998</v>
      </c>
      <c r="E42"/>
      <c r="F42"/>
      <c r="G42"/>
    </row>
    <row r="43" spans="1:7" x14ac:dyDescent="0.25">
      <c r="A43"/>
      <c r="B43"/>
      <c r="C43" s="9">
        <f t="shared" si="1"/>
        <v>3</v>
      </c>
      <c r="D43" s="13">
        <v>0.35</v>
      </c>
      <c r="E43"/>
      <c r="F43"/>
      <c r="G43"/>
    </row>
    <row r="44" spans="1:7" x14ac:dyDescent="0.25">
      <c r="A44"/>
      <c r="B44"/>
      <c r="C44" s="8">
        <f t="shared" si="1"/>
        <v>4</v>
      </c>
      <c r="D44" s="8">
        <v>0.34799999999999998</v>
      </c>
      <c r="E44"/>
      <c r="F44"/>
      <c r="G44"/>
    </row>
    <row r="45" spans="1:7" x14ac:dyDescent="0.25">
      <c r="A45"/>
      <c r="B45"/>
      <c r="C45" s="8">
        <f t="shared" si="1"/>
        <v>5</v>
      </c>
      <c r="D45" s="12">
        <v>0.35</v>
      </c>
      <c r="E45"/>
      <c r="F45"/>
      <c r="G45"/>
    </row>
    <row r="46" spans="1:7" x14ac:dyDescent="0.25">
      <c r="A46"/>
      <c r="B46"/>
      <c r="C46" s="8">
        <f t="shared" si="1"/>
        <v>6</v>
      </c>
      <c r="D46" s="8">
        <v>0.34899999999999998</v>
      </c>
      <c r="E46"/>
      <c r="F46"/>
      <c r="G46"/>
    </row>
    <row r="47" spans="1:7" x14ac:dyDescent="0.25">
      <c r="A47"/>
      <c r="B47"/>
      <c r="C47" s="8">
        <f t="shared" si="1"/>
        <v>7</v>
      </c>
      <c r="D47" s="8">
        <v>0.34799999999999998</v>
      </c>
      <c r="E47"/>
      <c r="F47"/>
      <c r="G47"/>
    </row>
    <row r="48" spans="1:7" x14ac:dyDescent="0.25">
      <c r="A48"/>
      <c r="B48"/>
      <c r="C48" s="8">
        <f t="shared" si="1"/>
        <v>8</v>
      </c>
      <c r="D48" s="8">
        <v>0.34799999999999998</v>
      </c>
      <c r="E48"/>
      <c r="F48"/>
      <c r="G48"/>
    </row>
    <row r="49" spans="1:7" x14ac:dyDescent="0.25">
      <c r="A49"/>
      <c r="B49"/>
      <c r="C49" s="8">
        <f t="shared" si="1"/>
        <v>9</v>
      </c>
      <c r="D49" s="8">
        <v>0.34899999999999998</v>
      </c>
      <c r="E49"/>
      <c r="F49"/>
      <c r="G49"/>
    </row>
    <row r="50" spans="1:7" x14ac:dyDescent="0.25">
      <c r="A50"/>
      <c r="B50"/>
      <c r="C50" s="8">
        <f t="shared" si="1"/>
        <v>10</v>
      </c>
      <c r="D50" s="12">
        <v>0.35</v>
      </c>
      <c r="E50"/>
      <c r="F50"/>
      <c r="G50"/>
    </row>
    <row r="51" spans="1:7" x14ac:dyDescent="0.25">
      <c r="A51"/>
      <c r="B51"/>
      <c r="C51"/>
      <c r="D51"/>
      <c r="E51"/>
      <c r="F51"/>
      <c r="G51"/>
    </row>
    <row r="52" spans="1:7" x14ac:dyDescent="0.25">
      <c r="A52"/>
      <c r="B52"/>
      <c r="C52" s="6" t="s">
        <v>7</v>
      </c>
      <c r="D52" s="14">
        <f>AVERAGE(D41:D50)</f>
        <v>0.34849999999999998</v>
      </c>
      <c r="E52" t="s">
        <v>20</v>
      </c>
      <c r="F52"/>
      <c r="G52"/>
    </row>
    <row r="53" spans="1:7" x14ac:dyDescent="0.25">
      <c r="A53"/>
      <c r="B53"/>
      <c r="C53" s="6"/>
      <c r="D53" s="11"/>
      <c r="E53"/>
      <c r="F53"/>
      <c r="G53"/>
    </row>
    <row r="54" spans="1:7" x14ac:dyDescent="0.25">
      <c r="A54"/>
      <c r="B54"/>
      <c r="C54" s="6" t="s">
        <v>8</v>
      </c>
      <c r="D54" s="14">
        <f>_xlfn.STDEV.S(D41:D50)</f>
        <v>1.5092308563562373E-3</v>
      </c>
      <c r="E54" t="s">
        <v>20</v>
      </c>
      <c r="F54" s="11"/>
      <c r="G54"/>
    </row>
    <row r="55" spans="1:7" x14ac:dyDescent="0.25">
      <c r="A55"/>
      <c r="B55"/>
      <c r="C55" s="6"/>
      <c r="D55"/>
      <c r="E55"/>
    </row>
    <row r="56" spans="1:7" x14ac:dyDescent="0.25">
      <c r="A56"/>
      <c r="B56"/>
      <c r="C56" s="6" t="s">
        <v>9</v>
      </c>
      <c r="D56" s="16">
        <f>D54/SQRT(C50)</f>
        <v>4.772607021092121E-4</v>
      </c>
      <c r="E56" t="s">
        <v>20</v>
      </c>
    </row>
    <row r="57" spans="1:7" x14ac:dyDescent="0.25">
      <c r="B57"/>
      <c r="C57"/>
      <c r="D57"/>
      <c r="E57"/>
    </row>
    <row r="58" spans="1:7" x14ac:dyDescent="0.25">
      <c r="B58"/>
      <c r="C58"/>
      <c r="D58"/>
      <c r="E58"/>
    </row>
    <row r="59" spans="1:7" x14ac:dyDescent="0.25">
      <c r="B59"/>
      <c r="C59"/>
      <c r="D59"/>
      <c r="E59"/>
    </row>
    <row r="60" spans="1:7" ht="15.6" x14ac:dyDescent="0.25">
      <c r="B60" s="20" t="s">
        <v>11</v>
      </c>
      <c r="C60" s="20"/>
      <c r="D60"/>
      <c r="E60"/>
    </row>
    <row r="61" spans="1:7" x14ac:dyDescent="0.25">
      <c r="B61"/>
      <c r="C61"/>
      <c r="D61"/>
      <c r="E61"/>
    </row>
    <row r="62" spans="1:7" ht="18" x14ac:dyDescent="0.35">
      <c r="B62" s="6" t="s">
        <v>12</v>
      </c>
      <c r="C62" s="15">
        <f>(D28)*(1.22)/(0.02)</f>
        <v>9.7904999999999998</v>
      </c>
      <c r="D62" s="17" t="s">
        <v>22</v>
      </c>
      <c r="E62" s="15">
        <f>(D32)*(1.22)/(0.02)</f>
        <v>2.9112902828661934E-2</v>
      </c>
      <c r="F62" s="4" t="s">
        <v>20</v>
      </c>
    </row>
    <row r="63" spans="1:7" x14ac:dyDescent="0.25">
      <c r="B63"/>
      <c r="C63"/>
      <c r="D63"/>
      <c r="E63"/>
    </row>
    <row r="64" spans="1:7" ht="18" x14ac:dyDescent="0.35">
      <c r="B64" s="6" t="s">
        <v>13</v>
      </c>
      <c r="C64" s="15">
        <f>D52*1.2/0.043</f>
        <v>9.7255813953488364</v>
      </c>
      <c r="D64" s="17" t="s">
        <v>21</v>
      </c>
      <c r="E64" s="15">
        <f>D56*1.2/0.043</f>
        <v>1.3318903314675688E-2</v>
      </c>
      <c r="F64" s="4" t="s">
        <v>20</v>
      </c>
    </row>
  </sheetData>
  <mergeCells count="4">
    <mergeCell ref="B2:E2"/>
    <mergeCell ref="C4:E4"/>
    <mergeCell ref="C6:E6"/>
    <mergeCell ref="B60:C60"/>
  </mergeCells>
  <pageMargins left="0.78749999999999998" right="0.78749999999999998" top="1.0263888888888899" bottom="1.0249999999999999" header="0.78749999999999998" footer="0.78749999999999998"/>
  <pageSetup orientation="portrait" useFirstPageNumber="1" r:id="rId1"/>
  <headerFooter>
    <oddHeader>&amp;LPHYS 2211&amp;CStatistics and Error Analysis&amp;RLab 01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2251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Devin Fromond</dc:creator>
  <cp:lastModifiedBy>Devin Fromond</cp:lastModifiedBy>
  <cp:revision>9</cp:revision>
  <dcterms:created xsi:type="dcterms:W3CDTF">2017-08-29T14:16:48Z</dcterms:created>
  <dcterms:modified xsi:type="dcterms:W3CDTF">2023-01-27T21:37:05Z</dcterms:modified>
  <dc:language>en-US</dc:language>
</cp:coreProperties>
</file>