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in\OneDrive\Documents\Georgia Tech\PHYS 2211\"/>
    </mc:Choice>
  </mc:AlternateContent>
  <xr:revisionPtr revIDLastSave="0" documentId="8_{8B4D6BB3-A388-4242-A477-87013DE39A9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4" i="1" l="1"/>
  <c r="H23" i="1"/>
  <c r="M45" i="1"/>
  <c r="M43" i="1"/>
  <c r="M41" i="1"/>
  <c r="K60" i="1"/>
  <c r="K61" i="1"/>
  <c r="K62" i="1"/>
  <c r="K63" i="1"/>
  <c r="K64" i="1"/>
  <c r="F60" i="1"/>
  <c r="L60" i="1" s="1"/>
  <c r="M60" i="1" s="1"/>
  <c r="F62" i="1"/>
  <c r="L62" i="1" s="1"/>
  <c r="M62" i="1" s="1"/>
  <c r="E60" i="1"/>
  <c r="E61" i="1"/>
  <c r="F61" i="1" s="1"/>
  <c r="E62" i="1"/>
  <c r="E63" i="1"/>
  <c r="F63" i="1" s="1"/>
  <c r="E64" i="1"/>
  <c r="F64" i="1" s="1"/>
  <c r="K59" i="1"/>
  <c r="E59" i="1"/>
  <c r="F59" i="1" s="1"/>
  <c r="L59" i="1" s="1"/>
  <c r="M59" i="1" s="1"/>
  <c r="K37" i="1"/>
  <c r="K38" i="1"/>
  <c r="K39" i="1"/>
  <c r="E37" i="1"/>
  <c r="F37" i="1" s="1"/>
  <c r="E38" i="1"/>
  <c r="F38" i="1" s="1"/>
  <c r="E39" i="1"/>
  <c r="F39" i="1" s="1"/>
  <c r="M36" i="1"/>
  <c r="L36" i="1"/>
  <c r="K36" i="1"/>
  <c r="K35" i="1"/>
  <c r="F36" i="1"/>
  <c r="F35" i="1"/>
  <c r="E36" i="1"/>
  <c r="L35" i="1"/>
  <c r="M35" i="1" s="1"/>
  <c r="E35" i="1"/>
  <c r="M34" i="1"/>
  <c r="L34" i="1"/>
  <c r="K34" i="1"/>
  <c r="F34" i="1"/>
  <c r="D14" i="1"/>
  <c r="D28" i="1" s="1"/>
  <c r="D53" i="1" s="1"/>
  <c r="D12" i="1"/>
  <c r="E20" i="1" l="1"/>
  <c r="L64" i="1"/>
  <c r="M64" i="1" s="1"/>
  <c r="L63" i="1"/>
  <c r="M63" i="1" s="1"/>
  <c r="L61" i="1"/>
  <c r="M61" i="1" s="1"/>
  <c r="M66" i="1" s="1"/>
  <c r="L39" i="1"/>
  <c r="M39" i="1" s="1"/>
  <c r="L38" i="1"/>
  <c r="M38" i="1" s="1"/>
  <c r="L37" i="1"/>
  <c r="M37" i="1" s="1"/>
  <c r="H20" i="1"/>
  <c r="I20" i="1" s="1"/>
  <c r="J20" i="1" s="1"/>
  <c r="D26" i="1"/>
  <c r="D51" i="1" s="1"/>
  <c r="M68" i="1" l="1"/>
  <c r="M70" i="1" s="1"/>
</calcChain>
</file>

<file path=xl/sharedStrings.xml><?xml version="1.0" encoding="utf-8"?>
<sst xmlns="http://schemas.openxmlformats.org/spreadsheetml/2006/main" count="72" uniqueCount="32">
  <si>
    <t>Lab 12 – Kinetic Energy in Collisions</t>
  </si>
  <si>
    <t>Your Name:</t>
  </si>
  <si>
    <t>David Gomez</t>
  </si>
  <si>
    <t>Partner(s):</t>
  </si>
  <si>
    <t>Experiment 1 – Elastic Collision: Friction Matters</t>
  </si>
  <si>
    <t>Block</t>
  </si>
  <si>
    <t>Lcart</t>
  </si>
  <si>
    <t>Rcart</t>
  </si>
  <si>
    <t>Left Mass, Cart &amp; Block:</t>
  </si>
  <si>
    <t>(kg)</t>
  </si>
  <si>
    <t>Right Mass:</t>
  </si>
  <si>
    <r>
      <rPr>
        <sz val="12"/>
        <rFont val="Arial"/>
        <family val="2"/>
        <charset val="1"/>
      </rPr>
      <t xml:space="preserve">Theoretical </t>
    </r>
    <r>
      <rPr>
        <sz val="12"/>
        <rFont val="Symbol"/>
        <family val="1"/>
        <charset val="2"/>
      </rPr>
      <t>D</t>
    </r>
    <r>
      <rPr>
        <i/>
        <sz val="12"/>
        <rFont val="Arial"/>
        <family val="2"/>
        <charset val="1"/>
      </rPr>
      <t>K</t>
    </r>
    <r>
      <rPr>
        <sz val="12"/>
        <rFont val="Arial"/>
        <family val="2"/>
        <charset val="1"/>
      </rPr>
      <t>/</t>
    </r>
    <r>
      <rPr>
        <i/>
        <sz val="12"/>
        <rFont val="Arial"/>
        <family val="2"/>
        <charset val="1"/>
      </rPr>
      <t>K</t>
    </r>
    <r>
      <rPr>
        <vertAlign val="subscript"/>
        <sz val="12"/>
        <rFont val="Arial"/>
        <family val="2"/>
        <charset val="1"/>
      </rPr>
      <t>i</t>
    </r>
  </si>
  <si>
    <t>Before</t>
  </si>
  <si>
    <t>After</t>
  </si>
  <si>
    <t>Results</t>
  </si>
  <si>
    <t>Left Velocity (m/s)</t>
  </si>
  <si>
    <t>Right Velocity (m/s)</t>
  </si>
  <si>
    <t>Kinetic Energy (J)</t>
  </si>
  <si>
    <r>
      <t>D</t>
    </r>
    <r>
      <rPr>
        <i/>
        <sz val="12"/>
        <rFont val="Arial"/>
        <family val="2"/>
        <charset val="1"/>
      </rPr>
      <t xml:space="preserve">K </t>
    </r>
    <r>
      <rPr>
        <sz val="12"/>
        <rFont val="Arial"/>
        <family val="2"/>
        <charset val="1"/>
      </rPr>
      <t>(J)</t>
    </r>
  </si>
  <si>
    <r>
      <rPr>
        <sz val="12"/>
        <rFont val="Symbol"/>
        <family val="1"/>
        <charset val="2"/>
      </rPr>
      <t>D</t>
    </r>
    <r>
      <rPr>
        <i/>
        <sz val="12"/>
        <rFont val="Arial"/>
        <family val="2"/>
        <charset val="1"/>
      </rPr>
      <t>K</t>
    </r>
    <r>
      <rPr>
        <sz val="12"/>
        <rFont val="Arial"/>
        <family val="2"/>
        <charset val="1"/>
      </rPr>
      <t>/</t>
    </r>
    <r>
      <rPr>
        <i/>
        <sz val="12"/>
        <rFont val="Arial"/>
        <family val="2"/>
        <charset val="1"/>
      </rPr>
      <t>K</t>
    </r>
    <r>
      <rPr>
        <vertAlign val="subscript"/>
        <sz val="12"/>
        <rFont val="Arial"/>
        <family val="2"/>
        <charset val="1"/>
      </rPr>
      <t>i</t>
    </r>
  </si>
  <si>
    <t>Experiment 2 – Elastic Collision</t>
  </si>
  <si>
    <r>
      <rPr>
        <sz val="12"/>
        <rFont val="Arial"/>
        <family val="2"/>
        <charset val="1"/>
      </rPr>
      <t>Slope (m/s</t>
    </r>
    <r>
      <rPr>
        <vertAlign val="superscript"/>
        <sz val="12"/>
        <rFont val="Arial"/>
        <family val="2"/>
        <charset val="1"/>
      </rPr>
      <t>2</t>
    </r>
    <r>
      <rPr>
        <sz val="12"/>
        <rFont val="Arial"/>
        <family val="2"/>
        <charset val="1"/>
      </rPr>
      <t>)</t>
    </r>
  </si>
  <si>
    <t>Intercept (m/s)</t>
  </si>
  <si>
    <r>
      <t xml:space="preserve">Predicted </t>
    </r>
    <r>
      <rPr>
        <i/>
        <sz val="12"/>
        <rFont val="Arial"/>
        <family val="2"/>
        <charset val="1"/>
      </rPr>
      <t>v</t>
    </r>
    <r>
      <rPr>
        <vertAlign val="subscript"/>
        <sz val="12"/>
        <rFont val="Arial"/>
        <family val="2"/>
        <charset val="1"/>
      </rPr>
      <t xml:space="preserve">Li </t>
    </r>
    <r>
      <rPr>
        <sz val="12"/>
        <rFont val="Arial"/>
        <family val="2"/>
        <charset val="1"/>
      </rPr>
      <t xml:space="preserve">(m/s) </t>
    </r>
  </si>
  <si>
    <t>Left Time (s)</t>
  </si>
  <si>
    <t>Right Time (s)</t>
  </si>
  <si>
    <t>Average:</t>
  </si>
  <si>
    <t>Standard Deviation:</t>
  </si>
  <si>
    <t>Standard Error:</t>
  </si>
  <si>
    <t>Experiment 3 – Inelastic Collision</t>
  </si>
  <si>
    <t>Time</t>
  </si>
  <si>
    <t>Devin Fromond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</si>
</sst>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0"/>
      <name val="Arial"/>
      <family val="2"/>
      <charset val="1"/>
    </font>
    <font>
      <sz val="12"/>
      <name val="Arial"/>
      <family val="2"/>
      <charset val="1"/>
    </font>
    <font>
      <b/>
      <sz val="12"/>
      <name val="Arial"/>
      <family val="2"/>
      <charset val="1"/>
    </font>
    <font>
      <b/>
      <sz val="14"/>
      <name val="Arial"/>
      <family val="2"/>
      <charset val="1"/>
    </font>
    <font>
      <sz val="12"/>
      <name val="Symbol"/>
      <family val="1"/>
      <charset val="2"/>
    </font>
    <font>
      <i/>
      <sz val="12"/>
      <name val="Arial"/>
      <family val="2"/>
      <charset val="1"/>
    </font>
    <font>
      <vertAlign val="subscript"/>
      <sz val="12"/>
      <name val="Arial"/>
      <family val="2"/>
      <charset val="1"/>
    </font>
    <font>
      <vertAlign val="superscript"/>
      <sz val="12"/>
      <name val="Arial"/>
      <family val="2"/>
      <charset val="1"/>
    </font>
    <font>
      <sz val="12"/>
      <color theme="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right"/>
    </xf>
    <xf numFmtId="164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70"/>
  <sheetViews>
    <sheetView showGridLines="0" tabSelected="1" topLeftCell="A40" zoomScale="65" zoomScaleNormal="100" workbookViewId="0">
      <selection activeCell="J52" sqref="J52"/>
    </sheetView>
  </sheetViews>
  <sheetFormatPr defaultRowHeight="15" x14ac:dyDescent="0.25"/>
  <cols>
    <col min="1" max="4" width="19.44140625" style="3" customWidth="1"/>
    <col min="5" max="5" width="21.88671875" style="3" customWidth="1"/>
    <col min="6" max="6" width="20.77734375" style="3" customWidth="1"/>
    <col min="7" max="7" width="22" style="3" customWidth="1"/>
    <col min="8" max="8" width="19.44140625" style="3" customWidth="1"/>
    <col min="9" max="9" width="20.44140625" style="3" customWidth="1"/>
    <col min="10" max="13" width="19.44140625" style="3" customWidth="1"/>
    <col min="14" max="1025" width="11.5546875" style="3"/>
  </cols>
  <sheetData>
    <row r="1" spans="2:8" ht="15.6" x14ac:dyDescent="0.25">
      <c r="B1" s="4"/>
    </row>
    <row r="2" spans="2:8" ht="17.399999999999999" x14ac:dyDescent="0.25">
      <c r="B2" s="18" t="s">
        <v>0</v>
      </c>
      <c r="C2" s="18"/>
      <c r="D2" s="18"/>
      <c r="E2" s="18"/>
    </row>
    <row r="3" spans="2:8" ht="15.6" x14ac:dyDescent="0.3">
      <c r="B3" s="5"/>
    </row>
    <row r="4" spans="2:8" ht="15.6" x14ac:dyDescent="0.3">
      <c r="B4" s="5" t="s">
        <v>1</v>
      </c>
      <c r="C4" s="19" t="s">
        <v>31</v>
      </c>
      <c r="D4" s="19"/>
      <c r="E4" s="19"/>
    </row>
    <row r="5" spans="2:8" ht="16.2" thickBot="1" x14ac:dyDescent="0.35">
      <c r="B5" s="5"/>
    </row>
    <row r="6" spans="2:8" ht="16.2" thickBot="1" x14ac:dyDescent="0.35">
      <c r="B6" s="5" t="s">
        <v>3</v>
      </c>
      <c r="C6" s="19" t="s">
        <v>2</v>
      </c>
      <c r="D6" s="19"/>
      <c r="E6" s="19"/>
    </row>
    <row r="7" spans="2:8" x14ac:dyDescent="0.25">
      <c r="C7" s="6"/>
    </row>
    <row r="10" spans="2:8" ht="15.6" x14ac:dyDescent="0.25">
      <c r="B10" s="7" t="s">
        <v>4</v>
      </c>
    </row>
    <row r="11" spans="2:8" ht="17.25" customHeight="1" x14ac:dyDescent="0.25">
      <c r="B11" s="4"/>
      <c r="F11" s="10" t="s">
        <v>5</v>
      </c>
      <c r="G11" s="10" t="s">
        <v>6</v>
      </c>
      <c r="H11" s="10" t="s">
        <v>7</v>
      </c>
    </row>
    <row r="12" spans="2:8" ht="17.25" customHeight="1" x14ac:dyDescent="0.25">
      <c r="C12" s="6" t="s">
        <v>8</v>
      </c>
      <c r="D12" s="2">
        <f>F12+G12</f>
        <v>0.99219999999999997</v>
      </c>
      <c r="E12" s="3" t="s">
        <v>9</v>
      </c>
      <c r="F12" s="10">
        <v>0.49299999999999999</v>
      </c>
      <c r="G12" s="11">
        <v>0.49919999999999998</v>
      </c>
      <c r="H12" s="10">
        <v>0.49509999999999998</v>
      </c>
    </row>
    <row r="13" spans="2:8" ht="17.25" customHeight="1" x14ac:dyDescent="0.25">
      <c r="F13" s="10"/>
      <c r="G13" s="10"/>
      <c r="H13" s="10"/>
    </row>
    <row r="14" spans="2:8" ht="17.25" customHeight="1" x14ac:dyDescent="0.25">
      <c r="C14" s="6" t="s">
        <v>10</v>
      </c>
      <c r="D14" s="2">
        <f>H12</f>
        <v>0.49509999999999998</v>
      </c>
      <c r="E14" s="3" t="s">
        <v>9</v>
      </c>
      <c r="G14" s="6"/>
    </row>
    <row r="16" spans="2:8" ht="17.25" customHeight="1" x14ac:dyDescent="0.4">
      <c r="C16" s="6" t="s">
        <v>11</v>
      </c>
      <c r="D16" s="2">
        <v>0</v>
      </c>
      <c r="G16" s="6"/>
    </row>
    <row r="17" spans="2:13" ht="15.6" x14ac:dyDescent="0.25">
      <c r="C17" s="4"/>
    </row>
    <row r="18" spans="2:13" x14ac:dyDescent="0.25">
      <c r="C18" s="16" t="s">
        <v>12</v>
      </c>
      <c r="D18" s="16"/>
      <c r="E18" s="16"/>
      <c r="F18" s="16" t="s">
        <v>13</v>
      </c>
      <c r="G18" s="16"/>
      <c r="H18" s="16"/>
      <c r="I18" s="16" t="s">
        <v>14</v>
      </c>
      <c r="J18" s="16"/>
    </row>
    <row r="19" spans="2:13" ht="18.600000000000001" x14ac:dyDescent="0.4">
      <c r="C19" s="1" t="s">
        <v>15</v>
      </c>
      <c r="D19" s="1" t="s">
        <v>16</v>
      </c>
      <c r="E19" s="1" t="s">
        <v>17</v>
      </c>
      <c r="F19" s="1" t="s">
        <v>15</v>
      </c>
      <c r="G19" s="1" t="s">
        <v>16</v>
      </c>
      <c r="H19" s="1" t="s">
        <v>17</v>
      </c>
      <c r="I19" s="8" t="s">
        <v>18</v>
      </c>
      <c r="J19" s="8" t="s">
        <v>19</v>
      </c>
    </row>
    <row r="20" spans="2:13" x14ac:dyDescent="0.25">
      <c r="C20" s="12">
        <v>0.35</v>
      </c>
      <c r="D20" s="13">
        <v>0.01</v>
      </c>
      <c r="E20" s="13">
        <f>E24</f>
        <v>6.0797004999999994E-2</v>
      </c>
      <c r="F20" s="13">
        <v>0.11</v>
      </c>
      <c r="G20" s="13">
        <v>0.44</v>
      </c>
      <c r="H20" s="13">
        <f>H23</f>
        <v>5.3928489999999996E-2</v>
      </c>
      <c r="I20" s="12">
        <f>H20-E20</f>
        <v>-6.8685149999999986E-3</v>
      </c>
      <c r="J20" s="12">
        <f>I20/E20</f>
        <v>-0.11297456182257661</v>
      </c>
    </row>
    <row r="23" spans="2:13" x14ac:dyDescent="0.25">
      <c r="H23" s="10">
        <f>(0.5*D12*F20*F20)+(0.5*D14*G20*G20)</f>
        <v>5.3928489999999996E-2</v>
      </c>
    </row>
    <row r="24" spans="2:13" ht="15.6" x14ac:dyDescent="0.25">
      <c r="B24" s="7" t="s">
        <v>20</v>
      </c>
      <c r="E24" s="10">
        <f>(0.5*D12*C20*C20)+(0.5*D14*D20*D20)</f>
        <v>6.0797004999999994E-2</v>
      </c>
    </row>
    <row r="25" spans="2:13" ht="17.25" customHeight="1" x14ac:dyDescent="0.25">
      <c r="B25" s="4"/>
    </row>
    <row r="26" spans="2:13" ht="17.25" customHeight="1" x14ac:dyDescent="0.25">
      <c r="C26" s="6" t="s">
        <v>8</v>
      </c>
      <c r="D26" s="2">
        <f>D12</f>
        <v>0.99219999999999997</v>
      </c>
      <c r="E26" s="3" t="s">
        <v>9</v>
      </c>
      <c r="G26" s="6"/>
    </row>
    <row r="27" spans="2:13" ht="17.25" customHeight="1" x14ac:dyDescent="0.25"/>
    <row r="28" spans="2:13" ht="17.25" customHeight="1" x14ac:dyDescent="0.25">
      <c r="C28" s="6" t="s">
        <v>10</v>
      </c>
      <c r="D28" s="2">
        <f>D14</f>
        <v>0.49509999999999998</v>
      </c>
      <c r="E28" s="3" t="s">
        <v>9</v>
      </c>
      <c r="G28" s="6"/>
    </row>
    <row r="30" spans="2:13" ht="17.25" customHeight="1" x14ac:dyDescent="0.4">
      <c r="C30" s="6" t="s">
        <v>11</v>
      </c>
      <c r="D30" s="2">
        <v>0</v>
      </c>
      <c r="G30" s="6"/>
    </row>
    <row r="31" spans="2:13" ht="15.6" x14ac:dyDescent="0.25">
      <c r="C31" s="4"/>
    </row>
    <row r="32" spans="2:13" x14ac:dyDescent="0.25">
      <c r="C32" s="17" t="s">
        <v>12</v>
      </c>
      <c r="D32" s="17"/>
      <c r="E32" s="17"/>
      <c r="F32" s="17"/>
      <c r="G32" s="16" t="s">
        <v>13</v>
      </c>
      <c r="H32" s="16"/>
      <c r="I32" s="16"/>
      <c r="J32" s="16"/>
      <c r="K32" s="16"/>
      <c r="L32" s="16" t="s">
        <v>14</v>
      </c>
      <c r="M32" s="16"/>
    </row>
    <row r="33" spans="3:13" ht="19.8" thickBot="1" x14ac:dyDescent="0.45">
      <c r="C33" s="1" t="s">
        <v>21</v>
      </c>
      <c r="D33" s="1" t="s">
        <v>22</v>
      </c>
      <c r="E33" s="1" t="s">
        <v>23</v>
      </c>
      <c r="F33" s="1" t="s">
        <v>17</v>
      </c>
      <c r="G33" s="1" t="s">
        <v>15</v>
      </c>
      <c r="H33" s="1" t="s">
        <v>24</v>
      </c>
      <c r="I33" s="1" t="s">
        <v>16</v>
      </c>
      <c r="J33" s="1" t="s">
        <v>25</v>
      </c>
      <c r="K33" s="1" t="s">
        <v>17</v>
      </c>
      <c r="L33" s="8" t="s">
        <v>18</v>
      </c>
      <c r="M33" s="8" t="s">
        <v>19</v>
      </c>
    </row>
    <row r="34" spans="3:13" ht="15.6" thickBot="1" x14ac:dyDescent="0.3">
      <c r="C34" s="12">
        <v>-2.46E-2</v>
      </c>
      <c r="D34" s="13">
        <v>0.50700000000000001</v>
      </c>
      <c r="E34" s="13">
        <v>0.41425600000000001</v>
      </c>
      <c r="F34" s="13">
        <f>0.5*D26*E34*E34</f>
        <v>8.51347454372096E-2</v>
      </c>
      <c r="G34" s="13">
        <v>0.14000000000000001</v>
      </c>
      <c r="H34" s="13">
        <v>1.32</v>
      </c>
      <c r="I34" s="12">
        <v>0.5</v>
      </c>
      <c r="J34" s="12">
        <v>1.32</v>
      </c>
      <c r="K34" s="13">
        <f>(0.5*D26*G34*G34)+(0.5*D28*I34*I34)</f>
        <v>7.1611060000000004E-2</v>
      </c>
      <c r="L34" s="12">
        <f>K34-F34</f>
        <v>-1.3523685437209595E-2</v>
      </c>
      <c r="M34" s="12">
        <f>L34/F34</f>
        <v>-0.15885036559114249</v>
      </c>
    </row>
    <row r="35" spans="3:13" ht="15.6" thickBot="1" x14ac:dyDescent="0.3">
      <c r="C35" s="12">
        <v>-4.2500000000000003E-2</v>
      </c>
      <c r="D35" s="13">
        <v>0.50800000000000001</v>
      </c>
      <c r="E35" s="12">
        <f>(0.76*C35)+D35</f>
        <v>0.47570000000000001</v>
      </c>
      <c r="F35" s="12">
        <f>E35*E35*0.5*$D$26</f>
        <v>0.112262712089</v>
      </c>
      <c r="G35" s="12">
        <v>0.15</v>
      </c>
      <c r="H35" s="12">
        <v>1</v>
      </c>
      <c r="I35" s="12">
        <v>0.57999999999999996</v>
      </c>
      <c r="J35" s="12">
        <v>1</v>
      </c>
      <c r="K35" s="12">
        <f>(0.5*$D$26*G35*G35)+(I35*I35*$D$28*0.5)</f>
        <v>9.4438069999999985E-2</v>
      </c>
      <c r="L35" s="12">
        <f>K35-F35</f>
        <v>-1.7824642089000017E-2</v>
      </c>
      <c r="M35" s="12">
        <f>L35/F35</f>
        <v>-0.15877615779377341</v>
      </c>
    </row>
    <row r="36" spans="3:13" ht="15.6" thickBot="1" x14ac:dyDescent="0.3">
      <c r="C36" s="12">
        <v>-5.4100000000000002E-2</v>
      </c>
      <c r="D36" s="13">
        <v>0.52400000000000002</v>
      </c>
      <c r="E36" s="12">
        <f>(0.76*C36)+D36</f>
        <v>0.48288400000000004</v>
      </c>
      <c r="F36" s="12">
        <f>E36*E36*0.5*$D$26</f>
        <v>0.11567908859392162</v>
      </c>
      <c r="G36" s="12">
        <v>0.15</v>
      </c>
      <c r="H36" s="12">
        <v>1.04</v>
      </c>
      <c r="I36" s="12">
        <v>0.59</v>
      </c>
      <c r="J36" s="12">
        <v>1.04</v>
      </c>
      <c r="K36" s="12">
        <f>(0.5*$D$26*G36*G36)+(I36*I36*$D$28*0.5)</f>
        <v>9.7334404999999985E-2</v>
      </c>
      <c r="L36" s="12">
        <f>K36-F36</f>
        <v>-1.8344683593921635E-2</v>
      </c>
      <c r="M36" s="12">
        <f>L36/F36</f>
        <v>-0.15858253913391879</v>
      </c>
    </row>
    <row r="37" spans="3:13" x14ac:dyDescent="0.25">
      <c r="C37" s="12">
        <v>-6.8900000000000003E-2</v>
      </c>
      <c r="D37" s="13">
        <v>0.57999999999999996</v>
      </c>
      <c r="E37" s="12">
        <f t="shared" ref="E37:E39" si="0">(0.76*C37)+D37</f>
        <v>0.52763599999999999</v>
      </c>
      <c r="F37" s="12">
        <f t="shared" ref="F37:F39" si="1">E37*E37*0.5*$D$26</f>
        <v>0.1381141152288656</v>
      </c>
      <c r="G37" s="12">
        <v>0.19</v>
      </c>
      <c r="H37" s="12">
        <v>1</v>
      </c>
      <c r="I37" s="12">
        <v>0.66</v>
      </c>
      <c r="J37" s="12">
        <v>1</v>
      </c>
      <c r="K37" s="12">
        <f t="shared" ref="K37:K39" si="2">(0.5*$D$26*G37*G37)+(I37*I37*$D$28*0.5)</f>
        <v>0.12574199</v>
      </c>
      <c r="L37" s="12">
        <f t="shared" ref="L37:L39" si="3">K37-F37</f>
        <v>-1.2372125228865605E-2</v>
      </c>
      <c r="M37" s="12">
        <f t="shared" ref="M37:M39" si="4">L37/F37</f>
        <v>-8.9579006521991258E-2</v>
      </c>
    </row>
    <row r="38" spans="3:13" x14ac:dyDescent="0.25">
      <c r="C38" s="12">
        <v>-5.04E-2</v>
      </c>
      <c r="D38" s="13">
        <v>0.51600000000000001</v>
      </c>
      <c r="E38" s="12">
        <f t="shared" si="0"/>
        <v>0.47769600000000001</v>
      </c>
      <c r="F38" s="12">
        <f t="shared" si="1"/>
        <v>0.11320677968117761</v>
      </c>
      <c r="G38" s="12">
        <v>0.15</v>
      </c>
      <c r="H38" s="12">
        <v>1</v>
      </c>
      <c r="I38" s="12">
        <v>0.56000000000000005</v>
      </c>
      <c r="J38" s="12">
        <v>1</v>
      </c>
      <c r="K38" s="12">
        <f t="shared" si="2"/>
        <v>8.8793930000000007E-2</v>
      </c>
      <c r="L38" s="12">
        <f t="shared" si="3"/>
        <v>-2.4412849681177601E-2</v>
      </c>
      <c r="M38" s="12">
        <f t="shared" si="4"/>
        <v>-0.21564830083437678</v>
      </c>
    </row>
    <row r="39" spans="3:13" x14ac:dyDescent="0.25">
      <c r="C39" s="12">
        <v>-3.4000000000000002E-2</v>
      </c>
      <c r="D39" s="13">
        <v>0.51400000000000001</v>
      </c>
      <c r="E39" s="12">
        <f t="shared" si="0"/>
        <v>0.48816000000000004</v>
      </c>
      <c r="F39" s="12">
        <f t="shared" si="1"/>
        <v>0.11822072207616002</v>
      </c>
      <c r="G39" s="12">
        <v>0.16</v>
      </c>
      <c r="H39" s="12">
        <v>1.04</v>
      </c>
      <c r="I39" s="12">
        <v>0.59</v>
      </c>
      <c r="J39" s="12">
        <v>1.04</v>
      </c>
      <c r="K39" s="12">
        <f t="shared" si="2"/>
        <v>9.8872314999999988E-2</v>
      </c>
      <c r="L39" s="12">
        <f t="shared" si="3"/>
        <v>-1.9348407076160035E-2</v>
      </c>
      <c r="M39" s="12">
        <f t="shared" si="4"/>
        <v>-0.16366341480891503</v>
      </c>
    </row>
    <row r="41" spans="3:13" x14ac:dyDescent="0.25">
      <c r="C41" s="6"/>
      <c r="L41" s="6" t="s">
        <v>26</v>
      </c>
      <c r="M41" s="14">
        <f>AVERAGE(M34:M39)</f>
        <v>-0.15751663078068631</v>
      </c>
    </row>
    <row r="42" spans="3:13" x14ac:dyDescent="0.25">
      <c r="C42" s="6"/>
      <c r="L42" s="6"/>
      <c r="M42" s="9"/>
    </row>
    <row r="43" spans="3:13" ht="15.6" thickBot="1" x14ac:dyDescent="0.3">
      <c r="C43" s="6"/>
      <c r="L43" s="6" t="s">
        <v>27</v>
      </c>
      <c r="M43" s="15">
        <f>_xlfn.STDEV.S(M34:M39)</f>
        <v>4.0092633299635611E-2</v>
      </c>
    </row>
    <row r="44" spans="3:13" ht="15.6" thickBot="1" x14ac:dyDescent="0.3">
      <c r="L44" s="6"/>
    </row>
    <row r="45" spans="3:13" ht="15.6" thickBot="1" x14ac:dyDescent="0.3">
      <c r="L45" s="6" t="s">
        <v>28</v>
      </c>
      <c r="M45" s="15">
        <f>M43/SQRT(6)</f>
        <v>1.6367749004770785E-2</v>
      </c>
    </row>
    <row r="49" spans="2:13" ht="15.6" x14ac:dyDescent="0.25">
      <c r="B49" s="7" t="s">
        <v>29</v>
      </c>
    </row>
    <row r="50" spans="2:13" ht="17.25" customHeight="1" x14ac:dyDescent="0.25">
      <c r="B50" s="4"/>
    </row>
    <row r="51" spans="2:13" ht="17.25" customHeight="1" x14ac:dyDescent="0.25">
      <c r="C51" s="6" t="s">
        <v>8</v>
      </c>
      <c r="D51" s="2">
        <f>D26</f>
        <v>0.99219999999999997</v>
      </c>
      <c r="E51" s="3" t="s">
        <v>9</v>
      </c>
      <c r="G51" s="6"/>
    </row>
    <row r="52" spans="2:13" ht="17.25" customHeight="1" x14ac:dyDescent="0.25"/>
    <row r="53" spans="2:13" ht="17.25" customHeight="1" x14ac:dyDescent="0.25">
      <c r="C53" s="6" t="s">
        <v>10</v>
      </c>
      <c r="D53" s="2">
        <f>D28</f>
        <v>0.49509999999999998</v>
      </c>
      <c r="E53" s="3" t="s">
        <v>9</v>
      </c>
      <c r="G53" s="6"/>
    </row>
    <row r="55" spans="2:13" ht="17.25" customHeight="1" x14ac:dyDescent="0.4">
      <c r="C55" s="6" t="s">
        <v>11</v>
      </c>
      <c r="D55" s="2">
        <v>-0.5</v>
      </c>
      <c r="G55" s="6"/>
    </row>
    <row r="56" spans="2:13" ht="15.6" x14ac:dyDescent="0.25">
      <c r="C56" s="4"/>
    </row>
    <row r="57" spans="2:13" x14ac:dyDescent="0.25">
      <c r="C57" s="17" t="s">
        <v>12</v>
      </c>
      <c r="D57" s="17"/>
      <c r="E57" s="17"/>
      <c r="F57" s="17"/>
      <c r="G57" s="16" t="s">
        <v>13</v>
      </c>
      <c r="H57" s="16"/>
      <c r="I57" s="16"/>
      <c r="J57" s="16"/>
      <c r="K57" s="16"/>
      <c r="L57" s="16" t="s">
        <v>14</v>
      </c>
      <c r="M57" s="16"/>
    </row>
    <row r="58" spans="2:13" ht="19.2" x14ac:dyDescent="0.4">
      <c r="B58" s="10" t="s">
        <v>30</v>
      </c>
      <c r="C58" s="1" t="s">
        <v>21</v>
      </c>
      <c r="D58" s="1" t="s">
        <v>22</v>
      </c>
      <c r="E58" s="1" t="s">
        <v>23</v>
      </c>
      <c r="F58" s="1" t="s">
        <v>17</v>
      </c>
      <c r="G58" s="1" t="s">
        <v>15</v>
      </c>
      <c r="H58" s="1" t="s">
        <v>24</v>
      </c>
      <c r="I58" s="1" t="s">
        <v>16</v>
      </c>
      <c r="J58" s="1" t="s">
        <v>25</v>
      </c>
      <c r="K58" s="1" t="s">
        <v>17</v>
      </c>
      <c r="L58" s="8" t="s">
        <v>18</v>
      </c>
      <c r="M58" s="8" t="s">
        <v>19</v>
      </c>
    </row>
    <row r="59" spans="2:13" x14ac:dyDescent="0.25">
      <c r="B59" s="10">
        <v>0.56000000000000005</v>
      </c>
      <c r="C59" s="12">
        <v>-0.184</v>
      </c>
      <c r="D59" s="13">
        <v>0.86299999999999999</v>
      </c>
      <c r="E59" s="13">
        <f>(C59*B59)+D59</f>
        <v>0.75995999999999997</v>
      </c>
      <c r="F59" s="13">
        <f>E59*E59*0.5*$D$51</f>
        <v>0.28651719791375996</v>
      </c>
      <c r="G59" s="13">
        <v>0.49</v>
      </c>
      <c r="H59" s="13">
        <v>1</v>
      </c>
      <c r="I59" s="12">
        <v>0.49</v>
      </c>
      <c r="J59" s="12">
        <v>1</v>
      </c>
      <c r="K59" s="13">
        <f>(I59*I59*0.5*$D$53)+(G59*G59*0.5*$D$51)</f>
        <v>0.17855036499999999</v>
      </c>
      <c r="L59" s="12">
        <f>K59-F59</f>
        <v>-0.10796683291375997</v>
      </c>
      <c r="M59" s="12">
        <f>L59/F59</f>
        <v>-0.37682496443462138</v>
      </c>
    </row>
    <row r="60" spans="2:13" x14ac:dyDescent="0.25">
      <c r="B60" s="10">
        <v>0.36</v>
      </c>
      <c r="C60" s="12">
        <v>-0.39300000000000002</v>
      </c>
      <c r="D60" s="12">
        <v>0.80600000000000005</v>
      </c>
      <c r="E60" s="13">
        <f t="shared" ref="E60:E64" si="5">(C60*B60)+D60</f>
        <v>0.66452</v>
      </c>
      <c r="F60" s="13">
        <f t="shared" ref="F60:F64" si="6">E60*E60*0.5*$D$51</f>
        <v>0.21907122656144001</v>
      </c>
      <c r="G60" s="12">
        <v>0.46</v>
      </c>
      <c r="H60" s="12">
        <v>0.8</v>
      </c>
      <c r="I60" s="12">
        <v>0.44</v>
      </c>
      <c r="J60" s="12">
        <v>0.8</v>
      </c>
      <c r="K60" s="13">
        <f t="shared" ref="K60:K64" si="7">(I60*I60*0.5*$D$53)+(G60*G60*0.5*$D$51)</f>
        <v>0.15290044</v>
      </c>
      <c r="L60" s="12">
        <f t="shared" ref="L60:L64" si="8">K60-F60</f>
        <v>-6.6170786561440015E-2</v>
      </c>
      <c r="M60" s="12">
        <f t="shared" ref="M60:M64" si="9">L60/F60</f>
        <v>-0.30205147248254427</v>
      </c>
    </row>
    <row r="61" spans="2:13" x14ac:dyDescent="0.25">
      <c r="B61" s="10">
        <v>0.4</v>
      </c>
      <c r="C61" s="12">
        <v>-0.38900000000000001</v>
      </c>
      <c r="D61" s="12">
        <v>0.873</v>
      </c>
      <c r="E61" s="13">
        <f t="shared" si="5"/>
        <v>0.71740000000000004</v>
      </c>
      <c r="F61" s="13">
        <f t="shared" si="6"/>
        <v>0.25532419523600003</v>
      </c>
      <c r="G61" s="12">
        <v>0.51</v>
      </c>
      <c r="H61" s="12">
        <v>0.8</v>
      </c>
      <c r="I61" s="12">
        <v>0.5</v>
      </c>
      <c r="J61" s="12">
        <v>0.8</v>
      </c>
      <c r="K61" s="13">
        <f t="shared" si="7"/>
        <v>0.19092311000000001</v>
      </c>
      <c r="L61" s="12">
        <f t="shared" si="8"/>
        <v>-6.4401085236000022E-2</v>
      </c>
      <c r="M61" s="12">
        <f t="shared" si="9"/>
        <v>-0.25223259854583358</v>
      </c>
    </row>
    <row r="62" spans="2:13" x14ac:dyDescent="0.25">
      <c r="B62" s="10">
        <v>0.6</v>
      </c>
      <c r="C62" s="12">
        <v>-0.38800000000000001</v>
      </c>
      <c r="D62" s="12">
        <v>0.81799999999999995</v>
      </c>
      <c r="E62" s="13">
        <f t="shared" si="5"/>
        <v>0.58519999999999994</v>
      </c>
      <c r="F62" s="13">
        <f t="shared" si="6"/>
        <v>0.16989392974399997</v>
      </c>
      <c r="G62" s="12">
        <v>0.39</v>
      </c>
      <c r="H62" s="12">
        <v>1</v>
      </c>
      <c r="I62" s="12">
        <v>0.37</v>
      </c>
      <c r="J62" s="12">
        <v>1</v>
      </c>
      <c r="K62" s="13">
        <f t="shared" si="7"/>
        <v>0.10934640499999999</v>
      </c>
      <c r="L62" s="12">
        <f t="shared" si="8"/>
        <v>-6.0547524743999978E-2</v>
      </c>
      <c r="M62" s="12">
        <f t="shared" si="9"/>
        <v>-0.35638427361845337</v>
      </c>
    </row>
    <row r="63" spans="2:13" x14ac:dyDescent="0.25">
      <c r="B63" s="10">
        <v>0.8</v>
      </c>
      <c r="C63" s="12">
        <v>-0.45400000000000001</v>
      </c>
      <c r="D63" s="12">
        <v>1.01</v>
      </c>
      <c r="E63" s="13">
        <f t="shared" si="5"/>
        <v>0.64680000000000004</v>
      </c>
      <c r="F63" s="13">
        <f t="shared" si="6"/>
        <v>0.20754355406400002</v>
      </c>
      <c r="G63" s="12">
        <v>0.45</v>
      </c>
      <c r="H63" s="12">
        <v>1.2</v>
      </c>
      <c r="I63" s="12">
        <v>0.44</v>
      </c>
      <c r="J63" s="12">
        <v>1.2</v>
      </c>
      <c r="K63" s="13">
        <f t="shared" si="7"/>
        <v>0.14838593</v>
      </c>
      <c r="L63" s="12">
        <f t="shared" si="8"/>
        <v>-5.9157624064000019E-2</v>
      </c>
      <c r="M63" s="12">
        <f t="shared" si="9"/>
        <v>-0.28503715439775901</v>
      </c>
    </row>
    <row r="64" spans="2:13" x14ac:dyDescent="0.25">
      <c r="B64" s="10">
        <v>0.6</v>
      </c>
      <c r="C64" s="12">
        <v>-0.378</v>
      </c>
      <c r="D64" s="12">
        <v>0.84199999999999997</v>
      </c>
      <c r="E64" s="13">
        <f t="shared" si="5"/>
        <v>0.61519999999999997</v>
      </c>
      <c r="F64" s="13">
        <f t="shared" si="6"/>
        <v>0.18775948294399999</v>
      </c>
      <c r="G64" s="12">
        <v>0.41</v>
      </c>
      <c r="H64" s="12">
        <v>1</v>
      </c>
      <c r="I64" s="12">
        <v>0.4</v>
      </c>
      <c r="J64" s="12">
        <v>1</v>
      </c>
      <c r="K64" s="13">
        <f t="shared" si="7"/>
        <v>0.12300240999999999</v>
      </c>
      <c r="L64" s="12">
        <f t="shared" si="8"/>
        <v>-6.4757072944000002E-2</v>
      </c>
      <c r="M64" s="12">
        <f t="shared" si="9"/>
        <v>-0.34489375411900797</v>
      </c>
    </row>
    <row r="66" spans="3:13" ht="15.6" thickBot="1" x14ac:dyDescent="0.3">
      <c r="C66" s="6"/>
      <c r="L66" s="6" t="s">
        <v>26</v>
      </c>
      <c r="M66" s="14">
        <f>AVERAGE(M59:M64)</f>
        <v>-0.31957070293303658</v>
      </c>
    </row>
    <row r="67" spans="3:13" ht="15.6" thickBot="1" x14ac:dyDescent="0.3">
      <c r="C67" s="6"/>
      <c r="L67" s="6"/>
    </row>
    <row r="68" spans="3:13" ht="15.6" thickBot="1" x14ac:dyDescent="0.3">
      <c r="C68" s="6"/>
      <c r="L68" s="6" t="s">
        <v>27</v>
      </c>
      <c r="M68" s="15">
        <f>_xlfn.STDEV.S(M59:M64)</f>
        <v>4.7557241468670575E-2</v>
      </c>
    </row>
    <row r="69" spans="3:13" ht="15.6" thickBot="1" x14ac:dyDescent="0.3">
      <c r="L69" s="6"/>
    </row>
    <row r="70" spans="3:13" x14ac:dyDescent="0.25">
      <c r="L70" s="6" t="s">
        <v>28</v>
      </c>
      <c r="M70" s="15">
        <f>M68/SQRT(6)</f>
        <v>1.9415162528761899E-2</v>
      </c>
    </row>
  </sheetData>
  <mergeCells count="12">
    <mergeCell ref="B2:E2"/>
    <mergeCell ref="C4:E4"/>
    <mergeCell ref="C6:E6"/>
    <mergeCell ref="C18:E18"/>
    <mergeCell ref="F18:H18"/>
    <mergeCell ref="I18:J18"/>
    <mergeCell ref="C32:F32"/>
    <mergeCell ref="G32:K32"/>
    <mergeCell ref="L32:M32"/>
    <mergeCell ref="C57:F57"/>
    <mergeCell ref="G57:K57"/>
    <mergeCell ref="L57:M57"/>
  </mergeCells>
  <pageMargins left="0.78749999999999998" right="0.78749999999999998" top="1.0263888888888899" bottom="1.0249999999999999" header="0.78749999999999998" footer="0.78749999999999998"/>
  <pageSetup orientation="portrait" useFirstPageNumber="1" horizontalDpi="300" verticalDpi="300"/>
  <headerFooter>
    <oddHeader>&amp;LPHYS 2211&amp;CStatistics and Error Analysis&amp;RLab 01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Manuel Gomez</dc:creator>
  <cp:keywords/>
  <dc:description/>
  <cp:lastModifiedBy>Devin Fromond</cp:lastModifiedBy>
  <cp:revision>24</cp:revision>
  <dcterms:created xsi:type="dcterms:W3CDTF">2017-08-29T14:16:48Z</dcterms:created>
  <dcterms:modified xsi:type="dcterms:W3CDTF">2023-04-07T00:07:33Z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