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vin\OneDrive\Documents\Georgia Tech\PHYS 2211\"/>
    </mc:Choice>
  </mc:AlternateContent>
  <xr:revisionPtr revIDLastSave="0" documentId="13_ncr:1_{CAB0351B-E42C-4D67-947F-DECA89F20F47}" xr6:coauthVersionLast="47" xr6:coauthVersionMax="47" xr10:uidLastSave="{00000000-0000-0000-0000-000000000000}"/>
  <bookViews>
    <workbookView xWindow="11424" yWindow="0" windowWidth="11712" windowHeight="12336" tabRatio="141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D22" i="1"/>
  <c r="D23" i="1"/>
  <c r="D20" i="1"/>
  <c r="F25" i="1"/>
  <c r="D25" i="1"/>
  <c r="E17" i="1"/>
  <c r="E16" i="1"/>
  <c r="E15" i="1"/>
  <c r="E14" i="1"/>
  <c r="H23" i="1"/>
  <c r="H21" i="1"/>
  <c r="H19" i="1"/>
  <c r="I15" i="1"/>
  <c r="I16" i="1"/>
  <c r="I17" i="1"/>
  <c r="H15" i="1"/>
  <c r="H16" i="1"/>
  <c r="H17" i="1"/>
  <c r="H14" i="1"/>
  <c r="I14" i="1"/>
  <c r="I19" i="1" s="1"/>
  <c r="I21" i="1" l="1"/>
  <c r="I23" i="1" s="1"/>
</calcChain>
</file>

<file path=xl/sharedStrings.xml><?xml version="1.0" encoding="utf-8"?>
<sst xmlns="http://schemas.openxmlformats.org/spreadsheetml/2006/main" count="26" uniqueCount="26">
  <si>
    <t>Lab 08 – Forces in Simple Harmonic Motion</t>
  </si>
  <si>
    <t>Your Name:</t>
  </si>
  <si>
    <t>Partner(s):</t>
  </si>
  <si>
    <t>Experiments 1 &amp; 2</t>
  </si>
  <si>
    <t>Hooke's Law</t>
  </si>
  <si>
    <t>Simple Harmonic Motion</t>
  </si>
  <si>
    <t>Average:</t>
  </si>
  <si>
    <t>Standard Deviation:</t>
  </si>
  <si>
    <t>Standard Error:</t>
  </si>
  <si>
    <t>Spring Constant from Hooke's Law:</t>
  </si>
  <si>
    <t>±</t>
  </si>
  <si>
    <t>Devin Fromond</t>
  </si>
  <si>
    <t>Mass (kg)</t>
  </si>
  <si>
    <t>Position (m)</t>
  </si>
  <si>
    <t>Force (N)</t>
  </si>
  <si>
    <r>
      <t xml:space="preserve">k </t>
    </r>
    <r>
      <rPr>
        <sz val="12"/>
        <rFont val="Century"/>
        <family val="1"/>
      </rPr>
      <t>from sine fit (N/m)</t>
    </r>
  </si>
  <si>
    <r>
      <t xml:space="preserve">k </t>
    </r>
    <r>
      <rPr>
        <sz val="12"/>
        <rFont val="Century"/>
        <family val="1"/>
      </rPr>
      <t xml:space="preserve">from </t>
    </r>
    <r>
      <rPr>
        <i/>
        <sz val="12"/>
        <rFont val="Century"/>
        <family val="1"/>
      </rPr>
      <t xml:space="preserve">a </t>
    </r>
    <r>
      <rPr>
        <sz val="12"/>
        <rFont val="Century"/>
        <family val="1"/>
      </rPr>
      <t xml:space="preserve">vs </t>
    </r>
    <r>
      <rPr>
        <i/>
        <sz val="12"/>
        <rFont val="Century"/>
        <family val="1"/>
      </rPr>
      <t xml:space="preserve">x </t>
    </r>
    <r>
      <rPr>
        <sz val="12"/>
        <rFont val="Century"/>
        <family val="1"/>
      </rPr>
      <t>(N/m)</t>
    </r>
  </si>
  <si>
    <t>Carlos Hernendez, Evan Romero</t>
  </si>
  <si>
    <t>w from sine fit (rad/sec)</t>
  </si>
  <si>
    <t>Mass Four:</t>
  </si>
  <si>
    <t>Mass Three:</t>
  </si>
  <si>
    <t>Mass Two:</t>
  </si>
  <si>
    <t>Mass One:</t>
  </si>
  <si>
    <t>(N/m)</t>
  </si>
  <si>
    <r>
      <t>w</t>
    </r>
    <r>
      <rPr>
        <vertAlign val="superscript"/>
        <sz val="12"/>
        <rFont val="Century"/>
        <family val="1"/>
      </rPr>
      <t xml:space="preserve">2 </t>
    </r>
    <r>
      <rPr>
        <sz val="12"/>
        <rFont val="Century"/>
        <family val="1"/>
      </rPr>
      <t xml:space="preserve">from </t>
    </r>
    <r>
      <rPr>
        <i/>
        <sz val="12"/>
        <rFont val="Century"/>
        <family val="1"/>
      </rPr>
      <t xml:space="preserve">a </t>
    </r>
    <r>
      <rPr>
        <sz val="12"/>
        <rFont val="Century"/>
        <family val="1"/>
      </rPr>
      <t xml:space="preserve">vs </t>
    </r>
    <r>
      <rPr>
        <i/>
        <sz val="12"/>
        <rFont val="Century"/>
        <family val="1"/>
      </rPr>
      <t xml:space="preserve">x </t>
    </r>
    <r>
      <rPr>
        <sz val="12"/>
        <rFont val="Century"/>
        <family val="1"/>
      </rPr>
      <t>(rad/sec)^2</t>
    </r>
  </si>
  <si>
    <t>Hooke's Law (N/m):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</si>
</sst>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0"/>
      <name val="Arial"/>
      <family val="2"/>
    </font>
    <font>
      <sz val="12"/>
      <name val="Century"/>
      <family val="1"/>
    </font>
    <font>
      <b/>
      <sz val="12"/>
      <name val="Century"/>
      <family val="1"/>
    </font>
    <font>
      <i/>
      <sz val="12"/>
      <name val="Century"/>
      <family val="1"/>
    </font>
    <font>
      <vertAlign val="superscript"/>
      <sz val="12"/>
      <name val="Century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wrapText="1"/>
    </xf>
    <xf numFmtId="16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2" fontId="1" fillId="0" borderId="0" xfId="0" applyNumberFormat="1" applyFont="1"/>
    <xf numFmtId="0" fontId="1" fillId="0" borderId="2" xfId="0" applyFont="1" applyBorder="1"/>
    <xf numFmtId="164" fontId="1" fillId="0" borderId="2" xfId="0" applyNumberFormat="1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5"/>
  <sheetViews>
    <sheetView showGridLines="0" tabSelected="1" topLeftCell="B1" zoomScale="68" zoomScaleNormal="100" workbookViewId="0">
      <selection activeCell="F23" sqref="F23"/>
    </sheetView>
  </sheetViews>
  <sheetFormatPr defaultRowHeight="15" x14ac:dyDescent="0.25"/>
  <cols>
    <col min="1" max="5" width="19.44140625" style="1"/>
    <col min="6" max="6" width="25.33203125" style="1" customWidth="1"/>
    <col min="7" max="7" width="29.5546875" style="1" customWidth="1"/>
    <col min="8" max="8" width="23.33203125" style="1" customWidth="1"/>
    <col min="9" max="9" width="22.77734375" style="1" customWidth="1"/>
    <col min="10" max="12" width="19.44140625" style="1"/>
    <col min="13" max="1025" width="11.5546875" style="1"/>
    <col min="1026" max="16384" width="8.88671875" style="1"/>
  </cols>
  <sheetData>
    <row r="1" spans="2:9" x14ac:dyDescent="0.25">
      <c r="B1" s="2"/>
    </row>
    <row r="2" spans="2:9" x14ac:dyDescent="0.25">
      <c r="B2" s="21" t="s">
        <v>0</v>
      </c>
      <c r="C2" s="21"/>
      <c r="D2" s="21"/>
      <c r="E2" s="21"/>
    </row>
    <row r="3" spans="2:9" x14ac:dyDescent="0.25">
      <c r="B3" s="3"/>
    </row>
    <row r="4" spans="2:9" x14ac:dyDescent="0.25">
      <c r="B4" s="3" t="s">
        <v>1</v>
      </c>
      <c r="C4" s="22" t="s">
        <v>11</v>
      </c>
      <c r="D4" s="22"/>
      <c r="E4" s="22"/>
    </row>
    <row r="5" spans="2:9" x14ac:dyDescent="0.25">
      <c r="B5" s="3"/>
    </row>
    <row r="6" spans="2:9" x14ac:dyDescent="0.25">
      <c r="B6" s="3" t="s">
        <v>2</v>
      </c>
      <c r="C6" s="22" t="s">
        <v>17</v>
      </c>
      <c r="D6" s="22"/>
      <c r="E6" s="22"/>
    </row>
    <row r="7" spans="2:9" x14ac:dyDescent="0.25">
      <c r="C7" s="4"/>
    </row>
    <row r="10" spans="2:9" x14ac:dyDescent="0.25">
      <c r="B10" s="5" t="s">
        <v>3</v>
      </c>
    </row>
    <row r="11" spans="2:9" x14ac:dyDescent="0.25">
      <c r="C11" s="2"/>
    </row>
    <row r="12" spans="2:9" x14ac:dyDescent="0.25">
      <c r="C12" s="19" t="s">
        <v>12</v>
      </c>
      <c r="D12" s="19" t="s">
        <v>4</v>
      </c>
      <c r="E12" s="19"/>
      <c r="F12" s="19" t="s">
        <v>5</v>
      </c>
      <c r="G12" s="19"/>
      <c r="H12" s="20" t="s">
        <v>15</v>
      </c>
      <c r="I12" s="20" t="s">
        <v>16</v>
      </c>
    </row>
    <row r="13" spans="2:9" ht="17.399999999999999" x14ac:dyDescent="0.25">
      <c r="C13" s="19"/>
      <c r="D13" s="7" t="s">
        <v>13</v>
      </c>
      <c r="E13" s="7" t="s">
        <v>14</v>
      </c>
      <c r="F13" s="7" t="s">
        <v>18</v>
      </c>
      <c r="G13" s="7" t="s">
        <v>24</v>
      </c>
      <c r="H13" s="20"/>
      <c r="I13" s="20"/>
    </row>
    <row r="14" spans="2:9" x14ac:dyDescent="0.25">
      <c r="C14" s="7">
        <v>0.105</v>
      </c>
      <c r="D14" s="6">
        <v>0.45590000000000003</v>
      </c>
      <c r="E14" s="6">
        <f>0.1101*9.81</f>
        <v>1.0800810000000001</v>
      </c>
      <c r="F14" s="6">
        <v>5.3730000000000002</v>
      </c>
      <c r="G14" s="6">
        <v>28.93</v>
      </c>
      <c r="H14" s="10">
        <f>C14*F14*F14</f>
        <v>3.0312585450000005</v>
      </c>
      <c r="I14" s="11">
        <f>C14*G14</f>
        <v>3.0376499999999997</v>
      </c>
    </row>
    <row r="15" spans="2:9" x14ac:dyDescent="0.25">
      <c r="C15" s="7">
        <v>0.125</v>
      </c>
      <c r="D15" s="6">
        <v>0.39140000000000003</v>
      </c>
      <c r="E15" s="6">
        <f>0.1341*9.81</f>
        <v>1.3155209999999999</v>
      </c>
      <c r="F15" s="6">
        <v>4.9539999999999997</v>
      </c>
      <c r="G15" s="6">
        <v>24.38</v>
      </c>
      <c r="H15" s="10">
        <f t="shared" ref="H15:H17" si="0">C15*F15*F15</f>
        <v>3.0677644999999996</v>
      </c>
      <c r="I15" s="11">
        <f t="shared" ref="I15:I17" si="1">C15*G15</f>
        <v>3.0474999999999999</v>
      </c>
    </row>
    <row r="16" spans="2:9" x14ac:dyDescent="0.25">
      <c r="C16" s="7">
        <v>0.155</v>
      </c>
      <c r="D16" s="6">
        <v>0.3014</v>
      </c>
      <c r="E16" s="6">
        <f>0.1581*9.81</f>
        <v>1.550961</v>
      </c>
      <c r="F16" s="6">
        <v>4.4749999999999996</v>
      </c>
      <c r="G16" s="6">
        <v>20.12</v>
      </c>
      <c r="H16" s="10">
        <f t="shared" si="0"/>
        <v>3.1039718749999996</v>
      </c>
      <c r="I16" s="11">
        <f t="shared" si="1"/>
        <v>3.1186000000000003</v>
      </c>
    </row>
    <row r="17" spans="3:9" x14ac:dyDescent="0.25">
      <c r="C17" s="7">
        <v>0.17499999999999999</v>
      </c>
      <c r="D17" s="6">
        <v>0.2351</v>
      </c>
      <c r="E17" s="6">
        <f>0.1724*9.81</f>
        <v>1.691244</v>
      </c>
      <c r="F17" s="6">
        <v>4.1550000000000002</v>
      </c>
      <c r="G17" s="6">
        <v>17.309999999999999</v>
      </c>
      <c r="H17" s="10">
        <f t="shared" si="0"/>
        <v>3.0212043750000004</v>
      </c>
      <c r="I17" s="11">
        <f t="shared" si="1"/>
        <v>3.0292499999999998</v>
      </c>
    </row>
    <row r="19" spans="3:9" ht="17.25" customHeight="1" x14ac:dyDescent="0.25">
      <c r="C19" s="17" t="s">
        <v>25</v>
      </c>
      <c r="D19" s="18"/>
      <c r="G19" s="4" t="s">
        <v>6</v>
      </c>
      <c r="H19" s="12">
        <f>AVERAGE(H14:H17)</f>
        <v>3.05604982375</v>
      </c>
      <c r="I19" s="12">
        <f>AVERAGE(I14:I17)</f>
        <v>3.0582499999999997</v>
      </c>
    </row>
    <row r="20" spans="3:9" ht="17.25" customHeight="1" x14ac:dyDescent="0.25">
      <c r="C20" s="15" t="s">
        <v>22</v>
      </c>
      <c r="D20" s="16">
        <f>E14/(0.809-D14)</f>
        <v>3.0588530161427356</v>
      </c>
      <c r="G20" s="4"/>
      <c r="H20" s="8"/>
      <c r="I20" s="8"/>
    </row>
    <row r="21" spans="3:9" ht="17.25" customHeight="1" x14ac:dyDescent="0.25">
      <c r="C21" s="15" t="s">
        <v>21</v>
      </c>
      <c r="D21" s="16">
        <f t="shared" ref="D21:D23" si="2">E15/(0.809-D15)</f>
        <v>3.1501939655172411</v>
      </c>
      <c r="G21" s="4" t="s">
        <v>7</v>
      </c>
      <c r="H21" s="13">
        <f>_xlfn.STDEV.S(H14:H17)</f>
        <v>3.7694249943012618E-2</v>
      </c>
      <c r="I21" s="13">
        <f>_xlfn.STDEV.S(I14:I17)</f>
        <v>4.091880170940191E-2</v>
      </c>
    </row>
    <row r="22" spans="3:9" ht="17.25" customHeight="1" x14ac:dyDescent="0.25">
      <c r="C22" s="15" t="s">
        <v>20</v>
      </c>
      <c r="D22" s="16">
        <f t="shared" si="2"/>
        <v>3.0554787234042551</v>
      </c>
      <c r="G22" s="4"/>
      <c r="H22" s="14"/>
      <c r="I22" s="14"/>
    </row>
    <row r="23" spans="3:9" ht="17.25" customHeight="1" x14ac:dyDescent="0.25">
      <c r="C23" s="15" t="s">
        <v>19</v>
      </c>
      <c r="D23" s="16">
        <f t="shared" si="2"/>
        <v>2.946931521170935</v>
      </c>
      <c r="G23" s="4" t="s">
        <v>8</v>
      </c>
      <c r="H23" s="13">
        <f>H21/SQRT(4)</f>
        <v>1.8847124971506309E-2</v>
      </c>
      <c r="I23" s="13">
        <f>I21/SQRT(4)</f>
        <v>2.0459400854700955E-2</v>
      </c>
    </row>
    <row r="25" spans="3:9" ht="17.25" customHeight="1" x14ac:dyDescent="0.25">
      <c r="C25" s="4" t="s">
        <v>9</v>
      </c>
      <c r="D25" s="12">
        <f>AVERAGE(D20:D23)</f>
        <v>3.0528643065587917</v>
      </c>
      <c r="E25" s="9" t="s">
        <v>10</v>
      </c>
      <c r="F25" s="13">
        <f>_xlfn.STDEV.S(D20:D23)/SQRT(4)</f>
        <v>4.1570740261751837E-2</v>
      </c>
      <c r="G25" s="1" t="s">
        <v>23</v>
      </c>
    </row>
  </sheetData>
  <mergeCells count="9">
    <mergeCell ref="C19:D19"/>
    <mergeCell ref="F12:G12"/>
    <mergeCell ref="H12:H13"/>
    <mergeCell ref="I12:I13"/>
    <mergeCell ref="B2:E2"/>
    <mergeCell ref="C4:E4"/>
    <mergeCell ref="C6:E6"/>
    <mergeCell ref="C12:C13"/>
    <mergeCell ref="D12:E12"/>
  </mergeCells>
  <pageMargins left="0.78749999999999998" right="0.78749999999999998" top="1.0263888888888899" bottom="1.0249999999999999" header="0.78749999999999998" footer="0.78749999999999998"/>
  <pageSetup orientation="portrait" useFirstPageNumber="1" r:id="rId1"/>
  <headerFooter>
    <oddHeader>&amp;LPHYS 2211&amp;CStatistics and Error Analysis&amp;RLab 01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6575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Devin Fromond</dc:creator>
  <cp:lastModifiedBy>Devin Fromond</cp:lastModifiedBy>
  <cp:revision>26</cp:revision>
  <dcterms:created xsi:type="dcterms:W3CDTF">2017-08-29T14:16:48Z</dcterms:created>
  <dcterms:modified xsi:type="dcterms:W3CDTF">2023-04-13T19:01:44Z</dcterms:modified>
  <dc:language>en-US</dc:language>
</cp:coreProperties>
</file>