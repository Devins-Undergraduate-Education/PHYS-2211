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Downloads\"/>
    </mc:Choice>
  </mc:AlternateContent>
  <xr:revisionPtr revIDLastSave="0" documentId="13_ncr:1_{4550DAA2-47B7-4485-8D88-D2EADE900E28}" xr6:coauthVersionLast="47" xr6:coauthVersionMax="47" xr10:uidLastSave="{00000000-0000-0000-0000-000000000000}"/>
  <bookViews>
    <workbookView xWindow="-108" yWindow="-108" windowWidth="23256" windowHeight="12456" tabRatio="14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1" l="1"/>
  <c r="D74" i="1"/>
  <c r="D72" i="1"/>
  <c r="D98" i="1"/>
  <c r="D70" i="1"/>
  <c r="E118" i="1"/>
  <c r="E120" i="1" s="1"/>
  <c r="F118" i="1"/>
  <c r="F120" i="1" s="1"/>
  <c r="D118" i="1"/>
  <c r="E116" i="1"/>
  <c r="F116" i="1"/>
  <c r="D116" i="1"/>
  <c r="D88" i="1"/>
  <c r="E90" i="1"/>
  <c r="E92" i="1" s="1"/>
  <c r="F90" i="1"/>
  <c r="F92" i="1" s="1"/>
  <c r="D90" i="1"/>
  <c r="E88" i="1"/>
  <c r="F88" i="1"/>
  <c r="D18" i="1"/>
  <c r="F62" i="1"/>
  <c r="F64" i="1" s="1"/>
  <c r="E62" i="1"/>
  <c r="E64" i="1" s="1"/>
  <c r="D62" i="1"/>
  <c r="F60" i="1"/>
  <c r="E60" i="1"/>
  <c r="D46" i="1" s="1"/>
  <c r="D60" i="1"/>
  <c r="D42" i="1" s="1"/>
  <c r="F34" i="1"/>
  <c r="E34" i="1"/>
  <c r="D34" i="1"/>
  <c r="F32" i="1"/>
  <c r="E32" i="1"/>
  <c r="D32" i="1"/>
  <c r="D14" i="1" s="1"/>
  <c r="C106" i="1"/>
  <c r="C107" i="1" s="1"/>
  <c r="C108" i="1" s="1"/>
  <c r="C109" i="1" s="1"/>
  <c r="C110" i="1" s="1"/>
  <c r="C111" i="1" s="1"/>
  <c r="C112" i="1" s="1"/>
  <c r="C113" i="1" s="1"/>
  <c r="C114" i="1" s="1"/>
  <c r="C78" i="1"/>
  <c r="C79" i="1" s="1"/>
  <c r="C80" i="1" s="1"/>
  <c r="C81" i="1" s="1"/>
  <c r="C82" i="1" s="1"/>
  <c r="C83" i="1" s="1"/>
  <c r="C84" i="1" s="1"/>
  <c r="C85" i="1" s="1"/>
  <c r="C86" i="1" s="1"/>
  <c r="C50" i="1"/>
  <c r="C51" i="1" s="1"/>
  <c r="C52" i="1" s="1"/>
  <c r="C53" i="1" s="1"/>
  <c r="C54" i="1" s="1"/>
  <c r="C55" i="1" s="1"/>
  <c r="C56" i="1" s="1"/>
  <c r="C57" i="1" s="1"/>
  <c r="C58" i="1" s="1"/>
  <c r="C22" i="1"/>
  <c r="C23" i="1" s="1"/>
  <c r="C24" i="1" s="1"/>
  <c r="C25" i="1" s="1"/>
  <c r="C26" i="1" s="1"/>
  <c r="C27" i="1" s="1"/>
  <c r="C28" i="1" s="1"/>
  <c r="C29" i="1" s="1"/>
  <c r="C30" i="1" s="1"/>
  <c r="D64" i="1" l="1"/>
  <c r="D36" i="1"/>
  <c r="D92" i="1"/>
  <c r="D120" i="1"/>
  <c r="E36" i="1"/>
  <c r="F36" i="1"/>
  <c r="D16" i="1"/>
  <c r="D102" i="1"/>
  <c r="D44" i="1"/>
</calcChain>
</file>

<file path=xl/sharedStrings.xml><?xml version="1.0" encoding="utf-8"?>
<sst xmlns="http://schemas.openxmlformats.org/spreadsheetml/2006/main" count="60" uniqueCount="25">
  <si>
    <t>Lab 06 – Projectile Motion</t>
  </si>
  <si>
    <t>Your Name:</t>
  </si>
  <si>
    <t>Partner(s):</t>
  </si>
  <si>
    <t>Vertical travel distance:</t>
  </si>
  <si>
    <t>Experiment 1 – Horizontal Launch at Low Speed</t>
  </si>
  <si>
    <t>(based on vertical distance)</t>
  </si>
  <si>
    <t>(based on average time of flight)</t>
  </si>
  <si>
    <t>Trial #</t>
  </si>
  <si>
    <t>Speed ()</t>
  </si>
  <si>
    <t>Time ()</t>
  </si>
  <si>
    <t>Average:</t>
  </si>
  <si>
    <t>Standard Deviation:</t>
  </si>
  <si>
    <t>Standard Error:</t>
  </si>
  <si>
    <t>Experiment 2 – Horizontal Launch at Medium Speed</t>
  </si>
  <si>
    <t>Experiment 3 – 30° Launch at Low Speed</t>
  </si>
  <si>
    <t>Experiment 4 – 60° Launch at Low Speed</t>
  </si>
  <si>
    <t>Devin Fromond</t>
  </si>
  <si>
    <t>Carlos Hernendez, Evan Romero</t>
  </si>
  <si>
    <t>Appliciable Equations</t>
  </si>
  <si>
    <t>Speed (m/s)</t>
  </si>
  <si>
    <t>Time (s)</t>
  </si>
  <si>
    <t>Horizontal Dist (m)</t>
  </si>
  <si>
    <t>meters</t>
  </si>
  <si>
    <t>Expected Horizontal Distance (in meters):</t>
  </si>
  <si>
    <t>Expected Time of Flight (in seconds):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</si>
</sst>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206829</xdr:colOff>
      <xdr:row>3</xdr:row>
      <xdr:rowOff>119744</xdr:rowOff>
    </xdr:from>
    <xdr:ext cx="1059842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704FAD2-6462-BAF8-0ABC-0739CDBC0472}"/>
                </a:ext>
              </a:extLst>
            </xdr:cNvPr>
            <xdr:cNvSpPr txBox="1"/>
          </xdr:nvSpPr>
          <xdr:spPr>
            <a:xfrm>
              <a:off x="9035143" y="751115"/>
              <a:ext cx="105984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100">
                        <a:latin typeface="Cambria Math" panose="02040503050406030204" pitchFamily="18" charset="0"/>
                      </a:rPr>
                      <m:t>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i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US" sz="1100" i="0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100" i="0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n-US" sz="1100" i="1">
                        <a:latin typeface="Cambria Math" panose="02040503050406030204" pitchFamily="18" charset="0"/>
                      </a:rPr>
                      <m:t>𝑎</m:t>
                    </m:r>
                    <m:sSup>
                      <m:sSup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p>
                        <m:r>
                          <a:rPr lang="en-US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704FAD2-6462-BAF8-0ABC-0739CDBC0472}"/>
                </a:ext>
              </a:extLst>
            </xdr:cNvPr>
            <xdr:cNvSpPr txBox="1"/>
          </xdr:nvSpPr>
          <xdr:spPr>
            <a:xfrm>
              <a:off x="9035143" y="751115"/>
              <a:ext cx="1059842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Δ𝑥=𝑣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0 𝑡+1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i="0">
                  <a:latin typeface="Cambria Math" panose="02040503050406030204" pitchFamily="18" charset="0"/>
                </a:rPr>
                <a:t>2 𝑎𝑡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n-US" sz="1100" i="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217715</xdr:colOff>
      <xdr:row>5</xdr:row>
      <xdr:rowOff>108857</xdr:rowOff>
    </xdr:from>
    <xdr:ext cx="830612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7CF7D2F-C01B-63EA-31CE-18561ACC5BBD}"/>
                </a:ext>
              </a:extLst>
            </xdr:cNvPr>
            <xdr:cNvSpPr txBox="1"/>
          </xdr:nvSpPr>
          <xdr:spPr>
            <a:xfrm>
              <a:off x="9046029" y="1132114"/>
              <a:ext cx="830612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𝑖𝑦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sin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7CF7D2F-C01B-63EA-31CE-18561ACC5BBD}"/>
                </a:ext>
              </a:extLst>
            </xdr:cNvPr>
            <xdr:cNvSpPr txBox="1"/>
          </xdr:nvSpPr>
          <xdr:spPr>
            <a:xfrm>
              <a:off x="9046029" y="1132114"/>
              <a:ext cx="830612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𝑣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𝑖𝑦=𝑣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𝑖  sin⁡𝜃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206829</xdr:colOff>
      <xdr:row>7</xdr:row>
      <xdr:rowOff>21771</xdr:rowOff>
    </xdr:from>
    <xdr:ext cx="84568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904BAF0-177B-790E-3296-40ACD5772D12}"/>
                </a:ext>
              </a:extLst>
            </xdr:cNvPr>
            <xdr:cNvSpPr txBox="1"/>
          </xdr:nvSpPr>
          <xdr:spPr>
            <a:xfrm>
              <a:off x="9035143" y="1436914"/>
              <a:ext cx="8456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𝑖𝑥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𝜃</m:t>
                        </m:r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904BAF0-177B-790E-3296-40ACD5772D12}"/>
                </a:ext>
              </a:extLst>
            </xdr:cNvPr>
            <xdr:cNvSpPr txBox="1"/>
          </xdr:nvSpPr>
          <xdr:spPr>
            <a:xfrm>
              <a:off x="9035143" y="1436914"/>
              <a:ext cx="84568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𝑣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𝑖𝑥=𝑣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𝑖  cos⁡𝜃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7</xdr:col>
      <xdr:colOff>228601</xdr:colOff>
      <xdr:row>8</xdr:row>
      <xdr:rowOff>97971</xdr:rowOff>
    </xdr:from>
    <xdr:ext cx="54194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15010A8-E9AA-1A77-5589-6A7477147B72}"/>
                </a:ext>
              </a:extLst>
            </xdr:cNvPr>
            <xdr:cNvSpPr txBox="1"/>
          </xdr:nvSpPr>
          <xdr:spPr>
            <a:xfrm>
              <a:off x="9056915" y="1709057"/>
              <a:ext cx="5419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US" sz="110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𝑖𝑥</m:t>
                        </m:r>
                      </m:sub>
                    </m:sSub>
                    <m:r>
                      <a:rPr lang="en-US" sz="110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E15010A8-E9AA-1A77-5589-6A7477147B72}"/>
                </a:ext>
              </a:extLst>
            </xdr:cNvPr>
            <xdr:cNvSpPr txBox="1"/>
          </xdr:nvSpPr>
          <xdr:spPr>
            <a:xfrm>
              <a:off x="9056915" y="1709057"/>
              <a:ext cx="54194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𝑑=𝑣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𝑖𝑥 𝑡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228600</xdr:colOff>
      <xdr:row>8</xdr:row>
      <xdr:rowOff>141514</xdr:rowOff>
    </xdr:from>
    <xdr:ext cx="1228350" cy="50013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D161EEC-BA88-91EF-037B-F9EF05F4E4DC}"/>
                </a:ext>
              </a:extLst>
            </xdr:cNvPr>
            <xdr:cNvSpPr txBox="1"/>
          </xdr:nvSpPr>
          <xdr:spPr>
            <a:xfrm>
              <a:off x="9851571" y="1752600"/>
              <a:ext cx="122835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d>
                              <m:dPr>
                                <m:ctrlPr>
                                  <a:rPr lang="en-US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n-US" sz="1100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  <m:r>
                                  <a:rPr lang="en-US" sz="11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sSub>
                                  <m:sSubPr>
                                    <m:ctrlPr>
                                      <a:rPr lang="en-US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i="1">
                                        <a:latin typeface="Cambria Math" panose="02040503050406030204" pitchFamily="18" charset="0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i="0">
                                        <a:latin typeface="Cambria Math" panose="02040503050406030204" pitchFamily="18" charset="0"/>
                                      </a:rPr>
                                      <m:t>0</m:t>
                                    </m:r>
                                  </m:sub>
                                </m:sSub>
                                <m:r>
                                  <a:rPr lang="en-US" sz="110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e>
                            </m:d>
                            <m:d>
                              <m:dPr>
                                <m:ctrlPr>
                                  <a:rPr lang="en-US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sz="11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e>
                            </m:d>
                          </m:num>
                          <m:den>
                            <m:r>
                              <a:rPr lang="en-US" sz="1100" i="0">
                                <a:latin typeface="Cambria Math" panose="02040503050406030204" pitchFamily="18" charset="0"/>
                              </a:rPr>
                              <m:t>9.81</m:t>
                            </m:r>
                          </m:den>
                        </m:f>
                      </m:e>
                    </m:rad>
                    <m:r>
                      <a:rPr lang="en-US" sz="11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ED161EEC-BA88-91EF-037B-F9EF05F4E4DC}"/>
                </a:ext>
              </a:extLst>
            </xdr:cNvPr>
            <xdr:cNvSpPr txBox="1"/>
          </xdr:nvSpPr>
          <xdr:spPr>
            <a:xfrm>
              <a:off x="9851571" y="1752600"/>
              <a:ext cx="122835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√((</a:t>
              </a:r>
              <a:r>
                <a:rPr lang="en-US" sz="1100" i="0">
                  <a:latin typeface="Cambria Math" panose="02040503050406030204" pitchFamily="18" charset="0"/>
                </a:rPr>
                <a:t>Δ𝑦−𝑣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sz="1100" i="0">
                  <a:latin typeface="Cambria Math" panose="02040503050406030204" pitchFamily="18" charset="0"/>
                </a:rPr>
                <a:t>0 𝑡)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i="0">
                  <a:latin typeface="Cambria Math" panose="02040503050406030204" pitchFamily="18" charset="0"/>
                </a:rPr>
                <a:t>2)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US" sz="1100" i="0">
                  <a:latin typeface="Cambria Math" panose="02040503050406030204" pitchFamily="18" charset="0"/>
                </a:rPr>
                <a:t>9.81</a:t>
              </a:r>
              <a:r>
                <a:rPr lang="en-US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n-US" sz="1100" i="0">
                  <a:latin typeface="Cambria Math" panose="02040503050406030204" pitchFamily="18" charset="0"/>
                </a:rPr>
                <a:t>=𝑡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20"/>
  <sheetViews>
    <sheetView tabSelected="1" topLeftCell="A38" zoomScale="67" zoomScaleNormal="70" workbookViewId="0">
      <selection activeCell="H50" sqref="H50"/>
    </sheetView>
  </sheetViews>
  <sheetFormatPr defaultRowHeight="15" x14ac:dyDescent="0.25"/>
  <cols>
    <col min="1" max="6" width="19.44140625" style="3"/>
    <col min="7" max="1025" width="11.5546875" style="3"/>
  </cols>
  <sheetData>
    <row r="1" spans="1:10" ht="17.399999999999999" x14ac:dyDescent="0.25">
      <c r="B1" s="2"/>
      <c r="C1"/>
    </row>
    <row r="2" spans="1:10" ht="17.399999999999999" x14ac:dyDescent="0.25">
      <c r="B2" s="19" t="s">
        <v>0</v>
      </c>
      <c r="C2" s="19"/>
      <c r="D2" s="19"/>
      <c r="E2" s="19"/>
    </row>
    <row r="3" spans="1:10" ht="15.6" x14ac:dyDescent="0.3">
      <c r="B3" s="4"/>
      <c r="C3"/>
      <c r="H3" s="21" t="s">
        <v>18</v>
      </c>
      <c r="I3" s="21"/>
      <c r="J3" s="21"/>
    </row>
    <row r="4" spans="1:10" ht="15.6" x14ac:dyDescent="0.3">
      <c r="B4" s="4" t="s">
        <v>1</v>
      </c>
      <c r="C4" s="20" t="s">
        <v>16</v>
      </c>
      <c r="D4" s="20"/>
      <c r="E4" s="20"/>
      <c r="H4" s="21"/>
      <c r="I4" s="21"/>
      <c r="J4" s="21"/>
    </row>
    <row r="5" spans="1:10" ht="15.6" x14ac:dyDescent="0.3">
      <c r="B5" s="4"/>
      <c r="H5" s="21"/>
      <c r="I5" s="21"/>
      <c r="J5" s="21"/>
    </row>
    <row r="6" spans="1:10" ht="15.6" x14ac:dyDescent="0.3">
      <c r="B6" s="4" t="s">
        <v>2</v>
      </c>
      <c r="C6" s="20" t="s">
        <v>17</v>
      </c>
      <c r="D6" s="20"/>
      <c r="E6" s="20"/>
      <c r="H6" s="21"/>
      <c r="I6" s="21"/>
      <c r="J6" s="21"/>
    </row>
    <row r="7" spans="1:10" x14ac:dyDescent="0.25">
      <c r="H7" s="21"/>
      <c r="I7" s="21"/>
      <c r="J7" s="21"/>
    </row>
    <row r="8" spans="1:10" x14ac:dyDescent="0.25">
      <c r="C8" s="5" t="s">
        <v>3</v>
      </c>
      <c r="D8" s="1">
        <v>0.84499999999999997</v>
      </c>
      <c r="E8" t="s">
        <v>22</v>
      </c>
      <c r="H8" s="21"/>
      <c r="I8" s="21"/>
      <c r="J8" s="21"/>
    </row>
    <row r="9" spans="1:10" x14ac:dyDescent="0.25">
      <c r="C9" s="5"/>
      <c r="E9"/>
      <c r="H9" s="21"/>
      <c r="I9" s="21"/>
      <c r="J9" s="21"/>
    </row>
    <row r="10" spans="1:10" x14ac:dyDescent="0.25">
      <c r="H10" s="21"/>
      <c r="I10" s="21"/>
      <c r="J10" s="21"/>
    </row>
    <row r="11" spans="1:10" x14ac:dyDescent="0.25">
      <c r="H11" s="21"/>
      <c r="I11" s="21"/>
      <c r="J11" s="21"/>
    </row>
    <row r="12" spans="1:10" ht="15.6" x14ac:dyDescent="0.25">
      <c r="B12" s="6" t="s">
        <v>4</v>
      </c>
      <c r="H12" s="21"/>
      <c r="I12" s="21"/>
      <c r="J12" s="21"/>
    </row>
    <row r="13" spans="1:10" ht="17.25" customHeight="1" x14ac:dyDescent="0.25">
      <c r="B13" s="7"/>
    </row>
    <row r="14" spans="1:10" ht="17.25" customHeight="1" x14ac:dyDescent="0.25">
      <c r="A14"/>
      <c r="C14" s="5" t="s">
        <v>24</v>
      </c>
      <c r="D14" s="16">
        <f>SQRT(((D8-D32*SIN(DEGREES(0)))*(2))/(9.81))</f>
        <v>0.41505805692916559</v>
      </c>
      <c r="E14"/>
    </row>
    <row r="15" spans="1:10" ht="15.6" thickBot="1" x14ac:dyDescent="0.3"/>
    <row r="16" spans="1:10" ht="17.25" customHeight="1" thickBot="1" x14ac:dyDescent="0.3">
      <c r="A16"/>
      <c r="C16" s="5" t="s">
        <v>23</v>
      </c>
      <c r="D16" s="17">
        <f>D32*COS(0)*D14</f>
        <v>1.1872320660401854</v>
      </c>
      <c r="E16" s="8" t="s">
        <v>5</v>
      </c>
    </row>
    <row r="17" spans="1:7" ht="15.6" thickBot="1" x14ac:dyDescent="0.3"/>
    <row r="18" spans="1:7" ht="17.25" customHeight="1" x14ac:dyDescent="0.25">
      <c r="A18"/>
      <c r="C18" s="5" t="s">
        <v>23</v>
      </c>
      <c r="D18" s="17">
        <f>E32*COS(0)*D32</f>
        <v>1.1985075999999999</v>
      </c>
      <c r="E18" s="8" t="s">
        <v>6</v>
      </c>
    </row>
    <row r="19" spans="1:7" ht="15.6" x14ac:dyDescent="0.25">
      <c r="A19"/>
      <c r="C19" s="7"/>
    </row>
    <row r="20" spans="1:7" x14ac:dyDescent="0.25">
      <c r="A20"/>
      <c r="C20" s="9" t="s">
        <v>7</v>
      </c>
      <c r="D20" s="9" t="s">
        <v>19</v>
      </c>
      <c r="E20" s="9" t="s">
        <v>20</v>
      </c>
      <c r="F20" s="9" t="s">
        <v>21</v>
      </c>
    </row>
    <row r="21" spans="1:7" x14ac:dyDescent="0.25">
      <c r="A21"/>
      <c r="C21" s="9">
        <v>1</v>
      </c>
      <c r="D21" s="9">
        <v>2.8570000000000002</v>
      </c>
      <c r="E21" s="9">
        <v>0.41599999999999998</v>
      </c>
      <c r="F21" s="9">
        <v>1.23</v>
      </c>
    </row>
    <row r="22" spans="1:7" x14ac:dyDescent="0.25">
      <c r="A22"/>
      <c r="C22" s="9">
        <f t="shared" ref="C22:C30" si="0">C21+1</f>
        <v>2</v>
      </c>
      <c r="D22" s="9">
        <v>2.8650000000000002</v>
      </c>
      <c r="E22" s="9">
        <v>0.41599999999999998</v>
      </c>
      <c r="F22" s="9">
        <v>1.23</v>
      </c>
    </row>
    <row r="23" spans="1:7" x14ac:dyDescent="0.25">
      <c r="A23"/>
      <c r="C23" s="10">
        <f t="shared" si="0"/>
        <v>3</v>
      </c>
      <c r="D23" s="10">
        <v>2.8650000000000002</v>
      </c>
      <c r="E23" s="10">
        <v>0.41499999999999998</v>
      </c>
      <c r="F23" s="10">
        <v>1.21</v>
      </c>
    </row>
    <row r="24" spans="1:7" x14ac:dyDescent="0.25">
      <c r="A24"/>
      <c r="C24" s="9">
        <f t="shared" si="0"/>
        <v>4</v>
      </c>
      <c r="D24" s="9">
        <v>2.8490000000000002</v>
      </c>
      <c r="E24" s="9">
        <v>0.41599999999999998</v>
      </c>
      <c r="F24" s="9">
        <v>1.21</v>
      </c>
    </row>
    <row r="25" spans="1:7" x14ac:dyDescent="0.25">
      <c r="A25"/>
      <c r="C25" s="9">
        <f t="shared" si="0"/>
        <v>5</v>
      </c>
      <c r="D25" s="9">
        <v>2.8490000000000002</v>
      </c>
      <c r="E25" s="9">
        <v>0.42099999999999999</v>
      </c>
      <c r="F25" s="9">
        <v>1.24</v>
      </c>
    </row>
    <row r="26" spans="1:7" x14ac:dyDescent="0.25">
      <c r="A26"/>
      <c r="C26" s="9">
        <f t="shared" si="0"/>
        <v>6</v>
      </c>
      <c r="D26" s="9">
        <v>2.8410000000000002</v>
      </c>
      <c r="E26" s="9">
        <v>0.42099999999999999</v>
      </c>
      <c r="F26" s="9">
        <v>1.25</v>
      </c>
    </row>
    <row r="27" spans="1:7" x14ac:dyDescent="0.25">
      <c r="A27"/>
      <c r="C27" s="9">
        <f t="shared" si="0"/>
        <v>7</v>
      </c>
      <c r="D27" s="9">
        <v>2.8570000000000002</v>
      </c>
      <c r="E27" s="9">
        <v>0.42199999999999999</v>
      </c>
      <c r="F27" s="9">
        <v>1.23</v>
      </c>
    </row>
    <row r="28" spans="1:7" x14ac:dyDescent="0.25">
      <c r="A28"/>
      <c r="C28" s="9">
        <f t="shared" si="0"/>
        <v>8</v>
      </c>
      <c r="D28" s="9">
        <v>2.8740000000000001</v>
      </c>
      <c r="E28" s="9">
        <v>0.42099999999999999</v>
      </c>
      <c r="F28" s="9">
        <v>1.23</v>
      </c>
    </row>
    <row r="29" spans="1:7" x14ac:dyDescent="0.25">
      <c r="A29"/>
      <c r="C29" s="9">
        <f t="shared" si="0"/>
        <v>9</v>
      </c>
      <c r="D29" s="9">
        <v>2.8650000000000002</v>
      </c>
      <c r="E29" s="12">
        <v>0.42</v>
      </c>
      <c r="F29" s="9">
        <v>1.22</v>
      </c>
    </row>
    <row r="30" spans="1:7" x14ac:dyDescent="0.25">
      <c r="A30"/>
      <c r="C30" s="9">
        <f t="shared" si="0"/>
        <v>10</v>
      </c>
      <c r="D30" s="9">
        <v>2.8820000000000001</v>
      </c>
      <c r="E30" s="9">
        <v>0.42199999999999999</v>
      </c>
      <c r="F30" s="9">
        <v>1.24</v>
      </c>
    </row>
    <row r="31" spans="1:7" x14ac:dyDescent="0.25">
      <c r="A31"/>
    </row>
    <row r="32" spans="1:7" x14ac:dyDescent="0.25">
      <c r="A32"/>
      <c r="C32" s="5" t="s">
        <v>10</v>
      </c>
      <c r="D32" s="13">
        <f>AVERAGE(D21:D30)</f>
        <v>2.8604000000000003</v>
      </c>
      <c r="E32" s="11">
        <f>AVERAGE(E21:E30)</f>
        <v>0.41899999999999993</v>
      </c>
      <c r="F32" s="14">
        <f>AVERAGE(F21:F30)</f>
        <v>1.2290000000000001</v>
      </c>
      <c r="G32"/>
    </row>
    <row r="33" spans="1:7" x14ac:dyDescent="0.25">
      <c r="A33"/>
      <c r="C33" s="5"/>
      <c r="D33" s="8"/>
      <c r="E33" s="8"/>
      <c r="F33" s="8"/>
      <c r="G33"/>
    </row>
    <row r="34" spans="1:7" x14ac:dyDescent="0.25">
      <c r="A34"/>
      <c r="C34" s="5" t="s">
        <v>11</v>
      </c>
      <c r="D34" s="13">
        <f>_xlfn.STDEV.S(D21:D30)</f>
        <v>1.2357633718115719E-2</v>
      </c>
      <c r="E34" s="13">
        <f>_xlfn.STDEV.S(E21:E30)</f>
        <v>2.8674417556808786E-3</v>
      </c>
      <c r="F34" s="13">
        <f>_xlfn.STDEV.S(F21:F30)</f>
        <v>1.2866839377079199E-2</v>
      </c>
      <c r="G34"/>
    </row>
    <row r="35" spans="1:7" x14ac:dyDescent="0.25">
      <c r="A35"/>
      <c r="C35" s="5"/>
    </row>
    <row r="36" spans="1:7" x14ac:dyDescent="0.25">
      <c r="A36"/>
      <c r="C36" s="5" t="s">
        <v>12</v>
      </c>
      <c r="D36" s="15">
        <f>D34/SQRT(C30)</f>
        <v>3.9078269039340844E-3</v>
      </c>
      <c r="E36" s="15">
        <f>E34/SQRT(C30)</f>
        <v>9.0676470058236383E-4</v>
      </c>
      <c r="F36" s="15">
        <f>F34/SQRT(C30)</f>
        <v>4.0688518719112377E-3</v>
      </c>
    </row>
    <row r="40" spans="1:7" ht="15.6" x14ac:dyDescent="0.25">
      <c r="B40" s="6" t="s">
        <v>13</v>
      </c>
    </row>
    <row r="41" spans="1:7" ht="17.25" customHeight="1" x14ac:dyDescent="0.25">
      <c r="B41" s="7"/>
    </row>
    <row r="42" spans="1:7" ht="17.25" customHeight="1" x14ac:dyDescent="0.25">
      <c r="A42"/>
      <c r="C42" s="5" t="s">
        <v>24</v>
      </c>
      <c r="D42" s="16">
        <f>SQRT(((D8-D60*SIN(DEGREES(0)))*(2))/(9.81))</f>
        <v>0.41505805692916559</v>
      </c>
      <c r="E42"/>
    </row>
    <row r="43" spans="1:7" ht="15.6" thickBot="1" x14ac:dyDescent="0.3"/>
    <row r="44" spans="1:7" ht="17.25" customHeight="1" thickBot="1" x14ac:dyDescent="0.3">
      <c r="A44"/>
      <c r="C44" s="5" t="s">
        <v>23</v>
      </c>
      <c r="D44" s="17">
        <f>D42*D60*COS(0)</f>
        <v>1.5793789182268605</v>
      </c>
      <c r="E44" s="8" t="s">
        <v>5</v>
      </c>
    </row>
    <row r="45" spans="1:7" ht="15.6" thickBot="1" x14ac:dyDescent="0.3"/>
    <row r="46" spans="1:7" ht="17.25" customHeight="1" x14ac:dyDescent="0.25">
      <c r="A46"/>
      <c r="C46" s="5" t="s">
        <v>23</v>
      </c>
      <c r="D46" s="17">
        <f>E60*D60*COS(0)</f>
        <v>1.6381385999999998</v>
      </c>
      <c r="E46" s="8" t="s">
        <v>6</v>
      </c>
    </row>
    <row r="47" spans="1:7" ht="15.6" x14ac:dyDescent="0.25">
      <c r="A47"/>
      <c r="C47" s="7"/>
    </row>
    <row r="48" spans="1:7" x14ac:dyDescent="0.25">
      <c r="A48"/>
      <c r="C48" s="9" t="s">
        <v>7</v>
      </c>
      <c r="D48" s="9" t="s">
        <v>8</v>
      </c>
      <c r="E48" s="9" t="s">
        <v>9</v>
      </c>
      <c r="F48" s="9" t="s">
        <v>21</v>
      </c>
    </row>
    <row r="49" spans="1:7" x14ac:dyDescent="0.25">
      <c r="A49"/>
      <c r="C49" s="9">
        <v>1</v>
      </c>
      <c r="D49" s="9">
        <v>3.802</v>
      </c>
      <c r="E49" s="12">
        <v>0.43</v>
      </c>
      <c r="F49" s="9">
        <v>1.65</v>
      </c>
    </row>
    <row r="50" spans="1:7" x14ac:dyDescent="0.25">
      <c r="A50"/>
      <c r="C50" s="9">
        <f t="shared" ref="C50:C58" si="1">C49+1</f>
        <v>2</v>
      </c>
      <c r="D50" s="9">
        <v>3.8170000000000002</v>
      </c>
      <c r="E50" s="12">
        <v>0.43099999999999999</v>
      </c>
      <c r="F50" s="9">
        <v>1.67</v>
      </c>
    </row>
    <row r="51" spans="1:7" x14ac:dyDescent="0.25">
      <c r="A51"/>
      <c r="C51" s="10">
        <f t="shared" si="1"/>
        <v>3</v>
      </c>
      <c r="D51" s="10">
        <v>3.8170000000000002</v>
      </c>
      <c r="E51" s="18">
        <v>0.43099999999999999</v>
      </c>
      <c r="F51" s="10">
        <v>1.65</v>
      </c>
    </row>
    <row r="52" spans="1:7" x14ac:dyDescent="0.25">
      <c r="A52"/>
      <c r="C52" s="9">
        <f t="shared" si="1"/>
        <v>4</v>
      </c>
      <c r="D52" s="9">
        <v>3.802</v>
      </c>
      <c r="E52" s="12">
        <v>0.43</v>
      </c>
      <c r="F52" s="9">
        <v>1.63</v>
      </c>
    </row>
    <row r="53" spans="1:7" x14ac:dyDescent="0.25">
      <c r="A53"/>
      <c r="C53" s="9">
        <f t="shared" si="1"/>
        <v>5</v>
      </c>
      <c r="D53" s="9">
        <v>3.8170000000000002</v>
      </c>
      <c r="E53" s="12">
        <v>0.43</v>
      </c>
      <c r="F53" s="9">
        <v>1.63</v>
      </c>
    </row>
    <row r="54" spans="1:7" x14ac:dyDescent="0.25">
      <c r="A54"/>
      <c r="C54" s="9">
        <f t="shared" si="1"/>
        <v>6</v>
      </c>
      <c r="D54" s="9">
        <v>3.7879999999999998</v>
      </c>
      <c r="E54" s="12">
        <v>0.43099999999999999</v>
      </c>
      <c r="F54" s="9">
        <v>1.65</v>
      </c>
    </row>
    <row r="55" spans="1:7" x14ac:dyDescent="0.25">
      <c r="A55"/>
      <c r="C55" s="9">
        <f t="shared" si="1"/>
        <v>7</v>
      </c>
      <c r="D55" s="9">
        <v>3.802</v>
      </c>
      <c r="E55" s="12">
        <v>0.43</v>
      </c>
      <c r="F55" s="9">
        <v>1.66</v>
      </c>
    </row>
    <row r="56" spans="1:7" x14ac:dyDescent="0.25">
      <c r="A56"/>
      <c r="C56" s="9">
        <f t="shared" si="1"/>
        <v>8</v>
      </c>
      <c r="D56" s="9">
        <v>3.802</v>
      </c>
      <c r="E56" s="12">
        <v>0.43</v>
      </c>
      <c r="F56" s="9">
        <v>1.62</v>
      </c>
    </row>
    <row r="57" spans="1:7" x14ac:dyDescent="0.25">
      <c r="A57"/>
      <c r="C57" s="9">
        <f t="shared" si="1"/>
        <v>9</v>
      </c>
      <c r="D57" s="9">
        <v>3.8170000000000002</v>
      </c>
      <c r="E57" s="12">
        <v>0.43099999999999999</v>
      </c>
      <c r="F57" s="9">
        <v>1.63</v>
      </c>
    </row>
    <row r="58" spans="1:7" x14ac:dyDescent="0.25">
      <c r="A58"/>
      <c r="C58" s="9">
        <f t="shared" si="1"/>
        <v>10</v>
      </c>
      <c r="D58" s="9">
        <v>3.7879999999999998</v>
      </c>
      <c r="E58" s="12">
        <v>0.43099999999999999</v>
      </c>
      <c r="F58" s="9">
        <v>1.64</v>
      </c>
    </row>
    <row r="59" spans="1:7" x14ac:dyDescent="0.25">
      <c r="A59"/>
    </row>
    <row r="60" spans="1:7" x14ac:dyDescent="0.25">
      <c r="A60"/>
      <c r="C60" s="5" t="s">
        <v>10</v>
      </c>
      <c r="D60" s="13">
        <f>AVERAGE(D49:D58)</f>
        <v>3.8051999999999992</v>
      </c>
      <c r="E60" s="13">
        <f>AVERAGE(E49:E58)</f>
        <v>0.43050000000000005</v>
      </c>
      <c r="F60" s="14">
        <f>AVERAGE(F49:F58)</f>
        <v>1.643</v>
      </c>
      <c r="G60"/>
    </row>
    <row r="61" spans="1:7" x14ac:dyDescent="0.25">
      <c r="A61"/>
      <c r="C61" s="5"/>
      <c r="D61" s="8"/>
      <c r="E61" s="8"/>
      <c r="F61" s="8"/>
      <c r="G61"/>
    </row>
    <row r="62" spans="1:7" x14ac:dyDescent="0.25">
      <c r="A62"/>
      <c r="C62" s="5" t="s">
        <v>11</v>
      </c>
      <c r="D62" s="13">
        <f>_xlfn.STDEV.S(D49:D58)</f>
        <v>1.1496859474560037E-2</v>
      </c>
      <c r="E62" s="13">
        <f>_xlfn.STDEV.S(E49:E58)</f>
        <v>5.2704627669473048E-4</v>
      </c>
      <c r="F62" s="13">
        <f>_xlfn.STDEV.S(F49:F58)</f>
        <v>1.5670212364724188E-2</v>
      </c>
      <c r="G62"/>
    </row>
    <row r="63" spans="1:7" ht="15.6" thickBot="1" x14ac:dyDescent="0.3">
      <c r="A63"/>
      <c r="C63" s="5"/>
    </row>
    <row r="64" spans="1:7" ht="15.6" thickBot="1" x14ac:dyDescent="0.3">
      <c r="A64"/>
      <c r="C64" s="5" t="s">
        <v>12</v>
      </c>
      <c r="D64" s="15">
        <f>D62/SQRT(C58)</f>
        <v>3.6356261878496376E-3</v>
      </c>
      <c r="E64" s="15">
        <f t="shared" ref="E64:F64" si="2">E62/SQRT(D58)</f>
        <v>2.7079694743803478E-4</v>
      </c>
      <c r="F64" s="15">
        <f t="shared" si="2"/>
        <v>2.3869111161631026E-2</v>
      </c>
    </row>
    <row r="68" spans="1:6" ht="15.6" x14ac:dyDescent="0.25">
      <c r="B68" s="6" t="s">
        <v>14</v>
      </c>
    </row>
    <row r="69" spans="1:6" ht="17.25" customHeight="1" thickBot="1" x14ac:dyDescent="0.3">
      <c r="B69" s="7"/>
    </row>
    <row r="70" spans="1:6" ht="17.25" customHeight="1" thickBot="1" x14ac:dyDescent="0.3">
      <c r="A70"/>
      <c r="C70" s="5" t="s">
        <v>24</v>
      </c>
      <c r="D70" s="16">
        <f>SQRT(((-D8+D88*COS(RADIANS(30)))*(2))/(9.81))</f>
        <v>0.549948103038571</v>
      </c>
      <c r="E70"/>
    </row>
    <row r="72" spans="1:6" ht="17.25" customHeight="1" thickBot="1" x14ac:dyDescent="0.3">
      <c r="A72"/>
      <c r="C72" s="5" t="s">
        <v>23</v>
      </c>
      <c r="D72" s="17">
        <f>D70*D88*COS(RADIANS(30))</f>
        <v>1.2805445355687168</v>
      </c>
      <c r="E72" s="8" t="s">
        <v>5</v>
      </c>
    </row>
    <row r="74" spans="1:6" ht="17.25" customHeight="1" x14ac:dyDescent="0.25">
      <c r="A74"/>
      <c r="C74" s="5" t="s">
        <v>23</v>
      </c>
      <c r="D74" s="17">
        <f>D88*COS(RADIANS(30))*E88</f>
        <v>1.3134969800298599</v>
      </c>
      <c r="E74" s="8" t="s">
        <v>6</v>
      </c>
    </row>
    <row r="75" spans="1:6" ht="15.6" x14ac:dyDescent="0.25">
      <c r="A75"/>
      <c r="C75" s="7"/>
    </row>
    <row r="76" spans="1:6" x14ac:dyDescent="0.25">
      <c r="A76"/>
      <c r="C76" s="9" t="s">
        <v>7</v>
      </c>
      <c r="D76" s="9" t="s">
        <v>19</v>
      </c>
      <c r="E76" s="9" t="s">
        <v>20</v>
      </c>
      <c r="F76" s="9" t="s">
        <v>21</v>
      </c>
    </row>
    <row r="77" spans="1:6" x14ac:dyDescent="0.25">
      <c r="A77"/>
      <c r="C77" s="9">
        <v>1</v>
      </c>
      <c r="D77" s="9">
        <v>2.681</v>
      </c>
      <c r="E77" s="9">
        <v>0.56100000000000005</v>
      </c>
      <c r="F77" s="9">
        <v>1.44</v>
      </c>
    </row>
    <row r="78" spans="1:6" x14ac:dyDescent="0.25">
      <c r="A78"/>
      <c r="C78" s="9">
        <f t="shared" ref="C78:C86" si="3">C77+1</f>
        <v>2</v>
      </c>
      <c r="D78" s="9">
        <v>2.6949999999999998</v>
      </c>
      <c r="E78" s="9">
        <v>0.56299999999999994</v>
      </c>
      <c r="F78" s="9">
        <v>1.38</v>
      </c>
    </row>
    <row r="79" spans="1:6" x14ac:dyDescent="0.25">
      <c r="A79"/>
      <c r="C79" s="10">
        <f t="shared" si="3"/>
        <v>3</v>
      </c>
      <c r="D79" s="10">
        <v>2.6949999999999998</v>
      </c>
      <c r="E79" s="10">
        <v>0.56299999999999994</v>
      </c>
      <c r="F79" s="10">
        <v>1.43</v>
      </c>
    </row>
    <row r="80" spans="1:6" x14ac:dyDescent="0.25">
      <c r="A80"/>
      <c r="C80" s="9">
        <f t="shared" si="3"/>
        <v>4</v>
      </c>
      <c r="D80" s="9">
        <v>2.6880000000000002</v>
      </c>
      <c r="E80" s="9">
        <v>0.56399999999999995</v>
      </c>
      <c r="F80" s="9">
        <v>1.44</v>
      </c>
    </row>
    <row r="81" spans="1:7" x14ac:dyDescent="0.25">
      <c r="A81"/>
      <c r="C81" s="9">
        <f t="shared" si="3"/>
        <v>5</v>
      </c>
      <c r="D81" s="9">
        <v>2.6880000000000002</v>
      </c>
      <c r="E81" s="9">
        <v>0.56399999999999995</v>
      </c>
      <c r="F81" s="9">
        <v>1.42</v>
      </c>
    </row>
    <row r="82" spans="1:7" x14ac:dyDescent="0.25">
      <c r="A82"/>
      <c r="C82" s="9">
        <f t="shared" si="3"/>
        <v>6</v>
      </c>
      <c r="D82" s="9">
        <v>2.6949999999999998</v>
      </c>
      <c r="E82" s="9">
        <v>0.56499999999999995</v>
      </c>
      <c r="F82" s="9">
        <v>1.43</v>
      </c>
    </row>
    <row r="83" spans="1:7" x14ac:dyDescent="0.25">
      <c r="A83"/>
      <c r="C83" s="9">
        <f t="shared" si="3"/>
        <v>7</v>
      </c>
      <c r="D83" s="9">
        <v>2.6949999999999998</v>
      </c>
      <c r="E83" s="9">
        <v>0.56399999999999995</v>
      </c>
      <c r="F83" s="9">
        <v>1.41</v>
      </c>
    </row>
    <row r="84" spans="1:7" x14ac:dyDescent="0.25">
      <c r="A84"/>
      <c r="C84" s="9">
        <f t="shared" si="3"/>
        <v>8</v>
      </c>
      <c r="D84" s="9">
        <v>2.681</v>
      </c>
      <c r="E84" s="9">
        <v>0.56499999999999995</v>
      </c>
      <c r="F84" s="9">
        <v>1.42</v>
      </c>
    </row>
    <row r="85" spans="1:7" x14ac:dyDescent="0.25">
      <c r="A85"/>
      <c r="C85" s="9">
        <f t="shared" si="3"/>
        <v>9</v>
      </c>
      <c r="D85" s="9">
        <v>2.6739999999999999</v>
      </c>
      <c r="E85" s="9">
        <v>0.56499999999999995</v>
      </c>
      <c r="F85" s="9">
        <v>1.44</v>
      </c>
    </row>
    <row r="86" spans="1:7" x14ac:dyDescent="0.25">
      <c r="A86"/>
      <c r="C86" s="9">
        <f t="shared" si="3"/>
        <v>10</v>
      </c>
      <c r="D86" s="9">
        <v>2.6949999999999998</v>
      </c>
      <c r="E86" s="9">
        <v>0.56699999999999995</v>
      </c>
      <c r="F86" s="9">
        <v>1.39</v>
      </c>
    </row>
    <row r="87" spans="1:7" x14ac:dyDescent="0.25">
      <c r="A87"/>
    </row>
    <row r="88" spans="1:7" x14ac:dyDescent="0.25">
      <c r="A88"/>
      <c r="C88" s="5" t="s">
        <v>10</v>
      </c>
      <c r="D88" s="13">
        <f>AVERAGE(D77:D86)</f>
        <v>2.6886999999999999</v>
      </c>
      <c r="E88" s="13">
        <f t="shared" ref="E88:F88" si="4">AVERAGE(E77:E86)</f>
        <v>0.56410000000000005</v>
      </c>
      <c r="F88" s="11">
        <f t="shared" si="4"/>
        <v>1.42</v>
      </c>
      <c r="G88"/>
    </row>
    <row r="89" spans="1:7" ht="15.6" thickBot="1" x14ac:dyDescent="0.3">
      <c r="A89"/>
      <c r="C89" s="5"/>
      <c r="D89" s="8"/>
      <c r="E89" s="8"/>
      <c r="F89" s="8"/>
      <c r="G89"/>
    </row>
    <row r="90" spans="1:7" ht="15.6" thickBot="1" x14ac:dyDescent="0.3">
      <c r="A90"/>
      <c r="C90" s="5" t="s">
        <v>11</v>
      </c>
      <c r="D90" s="13">
        <f>_xlfn.STDEV.S(D77:D86)</f>
        <v>7.7035345423022107E-3</v>
      </c>
      <c r="E90" s="13">
        <f t="shared" ref="E90:F90" si="5">_xlfn.STDEV.S(E77:E86)</f>
        <v>1.5951314818673638E-3</v>
      </c>
      <c r="F90" s="13">
        <f t="shared" si="5"/>
        <v>2.1081851067789214E-2</v>
      </c>
      <c r="G90"/>
    </row>
    <row r="91" spans="1:7" ht="15.6" thickBot="1" x14ac:dyDescent="0.3">
      <c r="A91"/>
      <c r="C91" s="5"/>
    </row>
    <row r="92" spans="1:7" ht="15.6" thickBot="1" x14ac:dyDescent="0.3">
      <c r="A92"/>
      <c r="C92" s="5" t="s">
        <v>12</v>
      </c>
      <c r="D92" s="15">
        <f>D90/SQRT(C86)</f>
        <v>2.4360715187457722E-3</v>
      </c>
      <c r="E92" s="15">
        <f t="shared" ref="E92:F92" si="6">E90/SQRT(D86)</f>
        <v>9.7166621318716675E-4</v>
      </c>
      <c r="F92" s="15">
        <f t="shared" si="6"/>
        <v>2.7997368371053894E-2</v>
      </c>
    </row>
    <row r="96" spans="1:7" ht="15.6" x14ac:dyDescent="0.25">
      <c r="B96" s="6" t="s">
        <v>15</v>
      </c>
    </row>
    <row r="97" spans="1:6" ht="17.25" customHeight="1" x14ac:dyDescent="0.25">
      <c r="B97" s="7"/>
    </row>
    <row r="98" spans="1:6" ht="17.25" customHeight="1" x14ac:dyDescent="0.25">
      <c r="A98"/>
      <c r="C98" s="5" t="s">
        <v>24</v>
      </c>
      <c r="D98" s="16">
        <f>SQRT(((-D8+D116*SIN(RADIANS(60)))*(2))/(9.81))</f>
        <v>0.54472229737585642</v>
      </c>
      <c r="E98"/>
    </row>
    <row r="100" spans="1:6" ht="17.25" customHeight="1" x14ac:dyDescent="0.25">
      <c r="A100"/>
      <c r="C100" s="5" t="s">
        <v>23</v>
      </c>
      <c r="D100" s="17">
        <f>D98*D116*SIN(RADIANS(60))</f>
        <v>1.253091854058052</v>
      </c>
      <c r="E100" s="8" t="s">
        <v>5</v>
      </c>
    </row>
    <row r="102" spans="1:6" ht="17.25" customHeight="1" x14ac:dyDescent="0.25">
      <c r="A102"/>
      <c r="C102" s="5" t="s">
        <v>23</v>
      </c>
      <c r="D102" s="17">
        <f>D116*COS(RADIANS(30))*E116</f>
        <v>1.2829460632964915</v>
      </c>
      <c r="E102" s="8" t="s">
        <v>6</v>
      </c>
    </row>
    <row r="103" spans="1:6" ht="15.6" x14ac:dyDescent="0.25">
      <c r="A103"/>
      <c r="C103" s="7"/>
    </row>
    <row r="104" spans="1:6" x14ac:dyDescent="0.25">
      <c r="A104"/>
      <c r="C104" s="9" t="s">
        <v>7</v>
      </c>
      <c r="D104" s="9" t="s">
        <v>19</v>
      </c>
      <c r="E104" s="9" t="s">
        <v>20</v>
      </c>
      <c r="F104" s="9" t="s">
        <v>21</v>
      </c>
    </row>
    <row r="105" spans="1:6" x14ac:dyDescent="0.25">
      <c r="A105"/>
      <c r="C105" s="9">
        <v>1</v>
      </c>
      <c r="D105" s="12">
        <v>2.6539999999999999</v>
      </c>
      <c r="E105" s="12">
        <v>0.56499999999999995</v>
      </c>
      <c r="F105" s="22">
        <v>1.38</v>
      </c>
    </row>
    <row r="106" spans="1:6" x14ac:dyDescent="0.25">
      <c r="A106"/>
      <c r="C106" s="9">
        <f t="shared" ref="C106:C114" si="7">C105+1</f>
        <v>2</v>
      </c>
      <c r="D106" s="12">
        <v>2.6480000000000001</v>
      </c>
      <c r="E106" s="12">
        <v>0.55000000000000004</v>
      </c>
      <c r="F106" s="22">
        <v>1.39</v>
      </c>
    </row>
    <row r="107" spans="1:6" x14ac:dyDescent="0.25">
      <c r="A107"/>
      <c r="C107" s="10">
        <f t="shared" si="7"/>
        <v>3</v>
      </c>
      <c r="D107" s="18">
        <v>2.6549999999999998</v>
      </c>
      <c r="E107" s="18">
        <v>0.55800000000000005</v>
      </c>
      <c r="F107" s="23">
        <v>1.41</v>
      </c>
    </row>
    <row r="108" spans="1:6" x14ac:dyDescent="0.25">
      <c r="A108"/>
      <c r="C108" s="9">
        <f t="shared" si="7"/>
        <v>4</v>
      </c>
      <c r="D108" s="12">
        <v>2.65</v>
      </c>
      <c r="E108" s="12">
        <v>0.56399999999999995</v>
      </c>
      <c r="F108" s="22">
        <v>1.37</v>
      </c>
    </row>
    <row r="109" spans="1:6" x14ac:dyDescent="0.25">
      <c r="A109"/>
      <c r="C109" s="9">
        <f t="shared" si="7"/>
        <v>5</v>
      </c>
      <c r="D109" s="12">
        <v>2.661</v>
      </c>
      <c r="E109" s="12">
        <v>0.55500000000000005</v>
      </c>
      <c r="F109" s="22">
        <v>1.4</v>
      </c>
    </row>
    <row r="110" spans="1:6" x14ac:dyDescent="0.25">
      <c r="A110"/>
      <c r="C110" s="9">
        <f t="shared" si="7"/>
        <v>6</v>
      </c>
      <c r="D110" s="12">
        <v>2.657</v>
      </c>
      <c r="E110" s="12">
        <v>0.55000000000000004</v>
      </c>
      <c r="F110" s="22">
        <v>1.41</v>
      </c>
    </row>
    <row r="111" spans="1:6" x14ac:dyDescent="0.25">
      <c r="A111"/>
      <c r="C111" s="9">
        <f t="shared" si="7"/>
        <v>7</v>
      </c>
      <c r="D111" s="12">
        <v>2.6619999999999999</v>
      </c>
      <c r="E111" s="12">
        <v>0.55200000000000005</v>
      </c>
      <c r="F111" s="22">
        <v>1.38</v>
      </c>
    </row>
    <row r="112" spans="1:6" x14ac:dyDescent="0.25">
      <c r="A112"/>
      <c r="C112" s="9">
        <f t="shared" si="7"/>
        <v>8</v>
      </c>
      <c r="D112" s="12">
        <v>2.6589999999999998</v>
      </c>
      <c r="E112" s="12">
        <v>0.56200000000000006</v>
      </c>
      <c r="F112" s="22">
        <v>1.43</v>
      </c>
    </row>
    <row r="113" spans="1:7" x14ac:dyDescent="0.25">
      <c r="A113"/>
      <c r="C113" s="9">
        <f t="shared" si="7"/>
        <v>9</v>
      </c>
      <c r="D113" s="12">
        <v>2.6589999999999998</v>
      </c>
      <c r="E113" s="12">
        <v>0.56299999999999994</v>
      </c>
      <c r="F113" s="22">
        <v>1.41</v>
      </c>
    </row>
    <row r="114" spans="1:7" x14ac:dyDescent="0.25">
      <c r="A114"/>
      <c r="C114" s="9">
        <f t="shared" si="7"/>
        <v>10</v>
      </c>
      <c r="D114" s="9">
        <v>2.6579999999999999</v>
      </c>
      <c r="E114" s="12">
        <v>0.55800000000000005</v>
      </c>
      <c r="F114" s="22">
        <v>1.38</v>
      </c>
    </row>
    <row r="115" spans="1:7" x14ac:dyDescent="0.25">
      <c r="A115"/>
    </row>
    <row r="116" spans="1:7" x14ac:dyDescent="0.25">
      <c r="A116"/>
      <c r="C116" s="5" t="s">
        <v>10</v>
      </c>
      <c r="D116" s="13">
        <f>AVERAGE(D105:D114)</f>
        <v>2.6562999999999999</v>
      </c>
      <c r="E116" s="13">
        <f t="shared" ref="E116:F116" si="8">AVERAGE(E105:E114)</f>
        <v>0.55769999999999997</v>
      </c>
      <c r="F116" s="14">
        <f t="shared" si="8"/>
        <v>1.3959999999999997</v>
      </c>
      <c r="G116"/>
    </row>
    <row r="117" spans="1:7" x14ac:dyDescent="0.25">
      <c r="A117"/>
      <c r="C117" s="5"/>
      <c r="D117" s="8"/>
      <c r="E117" s="8"/>
      <c r="F117" s="8"/>
      <c r="G117"/>
    </row>
    <row r="118" spans="1:7" x14ac:dyDescent="0.25">
      <c r="A118"/>
      <c r="C118" s="5" t="s">
        <v>11</v>
      </c>
      <c r="D118" s="13">
        <f>_xlfn.STDEV.S(D105:D114)</f>
        <v>4.5716517802649468E-3</v>
      </c>
      <c r="E118" s="13">
        <f t="shared" ref="E118:F118" si="9">_xlfn.STDEV.S(E105:E114)</f>
        <v>5.7551908936386998E-3</v>
      </c>
      <c r="F118" s="13">
        <f t="shared" si="9"/>
        <v>1.8973665961010258E-2</v>
      </c>
      <c r="G118"/>
    </row>
    <row r="119" spans="1:7" x14ac:dyDescent="0.25">
      <c r="A119"/>
      <c r="C119" s="5"/>
    </row>
    <row r="120" spans="1:7" x14ac:dyDescent="0.25">
      <c r="A120"/>
      <c r="C120" s="5" t="s">
        <v>12</v>
      </c>
      <c r="D120" s="15">
        <f>D118/SQRT(C114)</f>
        <v>1.4456832294800841E-3</v>
      </c>
      <c r="E120" s="15">
        <f t="shared" ref="E120:F120" si="10">E118/SQRT(D114)</f>
        <v>3.5300612833905282E-3</v>
      </c>
      <c r="F120" s="15">
        <f t="shared" si="10"/>
        <v>2.5400025400038075E-2</v>
      </c>
    </row>
  </sheetData>
  <mergeCells count="5">
    <mergeCell ref="B2:E2"/>
    <mergeCell ref="C4:E4"/>
    <mergeCell ref="C6:E6"/>
    <mergeCell ref="H3:J3"/>
    <mergeCell ref="H4:J12"/>
  </mergeCells>
  <pageMargins left="0.78749999999999998" right="0.78749999999999998" top="1.0263888888888899" bottom="1.0249999999999999" header="0.78749999999999998" footer="0.78749999999999998"/>
  <pageSetup orientation="portrait" useFirstPageNumber="1" r:id="rId1"/>
  <headerFooter>
    <oddHeader>&amp;LPHYS 2211&amp;CStatistics and Error Analysis&amp;RLab 01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2795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cp:revision>12</cp:revision>
  <dcterms:created xsi:type="dcterms:W3CDTF">2017-08-29T14:16:48Z</dcterms:created>
  <dcterms:modified xsi:type="dcterms:W3CDTF">2023-02-09T23:22:39Z</dcterms:modified>
  <dc:language>en-US</dc:language>
</cp:coreProperties>
</file>