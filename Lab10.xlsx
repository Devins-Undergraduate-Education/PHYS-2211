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vin\OneDrive\Documents\Georgia Tech\PHYS 2211\"/>
    </mc:Choice>
  </mc:AlternateContent>
  <xr:revisionPtr revIDLastSave="0" documentId="8_{CD91357C-BCBE-4471-B9EF-3B6D2DE5C0A0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D71" i="1" l="1"/>
  <c r="E60" i="1"/>
  <c r="E59" i="1"/>
  <c r="G59" i="1" s="1"/>
  <c r="E58" i="1"/>
  <c r="E57" i="1"/>
  <c r="G57" i="1" s="1"/>
  <c r="E56" i="1"/>
  <c r="G56" i="1"/>
  <c r="F60" i="1"/>
  <c r="F59" i="1"/>
  <c r="F58" i="1"/>
  <c r="F57" i="1"/>
  <c r="F56" i="1"/>
  <c r="G46" i="1"/>
  <c r="G45" i="1"/>
  <c r="G44" i="1"/>
  <c r="E42" i="1"/>
  <c r="E41" i="1"/>
  <c r="E40" i="1"/>
  <c r="G40" i="1" s="1"/>
  <c r="E39" i="1"/>
  <c r="G39" i="1" s="1"/>
  <c r="E38" i="1"/>
  <c r="G38" i="1" s="1"/>
  <c r="G28" i="1"/>
  <c r="G27" i="1"/>
  <c r="G26" i="1"/>
  <c r="F39" i="1"/>
  <c r="F42" i="1"/>
  <c r="F41" i="1"/>
  <c r="F40" i="1"/>
  <c r="F38" i="1"/>
  <c r="E24" i="1"/>
  <c r="G24" i="1" s="1"/>
  <c r="E23" i="1"/>
  <c r="E22" i="1"/>
  <c r="E21" i="1"/>
  <c r="E20" i="1"/>
  <c r="F20" i="1"/>
  <c r="F24" i="1"/>
  <c r="F23" i="1"/>
  <c r="F22" i="1"/>
  <c r="F21" i="1"/>
  <c r="G60" i="1" l="1"/>
  <c r="G58" i="1"/>
  <c r="G63" i="1" s="1"/>
  <c r="G64" i="1" s="1"/>
  <c r="G41" i="1"/>
  <c r="G42" i="1"/>
  <c r="G20" i="1"/>
  <c r="G23" i="1"/>
  <c r="G22" i="1"/>
  <c r="G21" i="1"/>
  <c r="G62" i="1" l="1"/>
</calcChain>
</file>

<file path=xl/sharedStrings.xml><?xml version="1.0" encoding="utf-8"?>
<sst xmlns="http://schemas.openxmlformats.org/spreadsheetml/2006/main" count="44" uniqueCount="24">
  <si>
    <t>Lab 10 - Work and Kinetic Energy</t>
  </si>
  <si>
    <t>Your Name:</t>
  </si>
  <si>
    <t>Partner(s):</t>
  </si>
  <si>
    <t>Mass of cart and force sensor, for all experiments:</t>
  </si>
  <si>
    <t>Experiment 1 – Hanging mass 55 g</t>
  </si>
  <si>
    <t>Kinetic Energy</t>
  </si>
  <si>
    <t>Difference</t>
  </si>
  <si>
    <t>Average:</t>
  </si>
  <si>
    <t>Standard Deviation:</t>
  </si>
  <si>
    <t>Standard Error:</t>
  </si>
  <si>
    <t>Experiment 2 – Hanging mass 75 g</t>
  </si>
  <si>
    <t>Experiment 3 – Hanging mass 95 g</t>
  </si>
  <si>
    <t>Summary</t>
  </si>
  <si>
    <t>±</t>
  </si>
  <si>
    <r>
      <t xml:space="preserve">Difference </t>
    </r>
    <r>
      <rPr>
        <i/>
        <sz val="12"/>
        <rFont val="Century"/>
        <family val="1"/>
      </rPr>
      <t>W</t>
    </r>
    <r>
      <rPr>
        <sz val="12"/>
        <rFont val="Century"/>
        <family val="1"/>
      </rPr>
      <t>–DK</t>
    </r>
    <r>
      <rPr>
        <i/>
        <sz val="12"/>
        <rFont val="Century"/>
        <family val="1"/>
      </rPr>
      <t>:</t>
    </r>
  </si>
  <si>
    <t>Devin Fromond</t>
  </si>
  <si>
    <t>Carlos Hernendez, Evan Romero</t>
  </si>
  <si>
    <t>(kg)</t>
  </si>
  <si>
    <t>Position (m)</t>
  </si>
  <si>
    <t>Velocity (m/s)</t>
  </si>
  <si>
    <r>
      <t xml:space="preserve">Work, </t>
    </r>
    <r>
      <rPr>
        <i/>
        <sz val="12"/>
        <rFont val="Century"/>
        <family val="1"/>
      </rPr>
      <t xml:space="preserve">W </t>
    </r>
    <r>
      <rPr>
        <sz val="12"/>
        <rFont val="Century"/>
        <family val="1"/>
      </rPr>
      <t>(J)</t>
    </r>
  </si>
  <si>
    <r>
      <t>Change, D</t>
    </r>
    <r>
      <rPr>
        <i/>
        <sz val="12"/>
        <rFont val="Century"/>
        <family val="1"/>
      </rPr>
      <t xml:space="preserve">K </t>
    </r>
    <r>
      <rPr>
        <sz val="12"/>
        <rFont val="Century"/>
        <family val="1"/>
      </rPr>
      <t>(J)</t>
    </r>
  </si>
  <si>
    <r>
      <t xml:space="preserve">W </t>
    </r>
    <r>
      <rPr>
        <sz val="12"/>
        <rFont val="Century"/>
        <family val="1"/>
      </rPr>
      <t>– D</t>
    </r>
    <r>
      <rPr>
        <i/>
        <sz val="12"/>
        <rFont val="Century"/>
        <family val="1"/>
      </rPr>
      <t xml:space="preserve">K </t>
    </r>
    <r>
      <rPr>
        <sz val="12"/>
        <rFont val="Century"/>
        <family val="1"/>
      </rPr>
      <t>(J)</t>
    </r>
  </si>
  <si>
    <t>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</si>
</sst>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7" x14ac:knownFonts="1">
    <font>
      <sz val="10"/>
      <name val="Arial"/>
      <family val="2"/>
      <charset val="1"/>
    </font>
    <font>
      <sz val="12"/>
      <name val="Century"/>
      <family val="1"/>
    </font>
    <font>
      <b/>
      <sz val="14"/>
      <name val="Century"/>
      <family val="1"/>
    </font>
    <font>
      <sz val="10"/>
      <name val="Century"/>
      <family val="1"/>
    </font>
    <font>
      <b/>
      <sz val="12"/>
      <name val="Century"/>
      <family val="1"/>
    </font>
    <font>
      <i/>
      <sz val="12"/>
      <name val="Century"/>
      <family val="1"/>
    </font>
    <font>
      <sz val="14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CCCFF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4" fillId="0" borderId="0" xfId="0" applyFont="1"/>
    <xf numFmtId="0" fontId="1" fillId="0" borderId="1" xfId="0" applyFont="1" applyBorder="1"/>
    <xf numFmtId="0" fontId="4" fillId="0" borderId="0" xfId="0" applyFont="1" applyAlignment="1">
      <alignment horizontal="right"/>
    </xf>
    <xf numFmtId="0" fontId="1" fillId="0" borderId="1" xfId="0" applyFont="1" applyBorder="1"/>
    <xf numFmtId="0" fontId="1" fillId="0" borderId="0" xfId="0" applyFont="1" applyAlignment="1">
      <alignment horizontal="right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6" fillId="0" borderId="0" xfId="0" applyFont="1" applyAlignment="1">
      <alignment horizontal="center" wrapText="1"/>
    </xf>
    <xf numFmtId="0" fontId="1" fillId="0" borderId="1" xfId="0" applyFont="1" applyBorder="1" applyAlignment="1">
      <alignment horizontal="righ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K71"/>
  <sheetViews>
    <sheetView showGridLines="0" tabSelected="1" topLeftCell="A52" zoomScale="72" zoomScaleNormal="100" workbookViewId="0">
      <selection activeCell="H63" sqref="H63"/>
    </sheetView>
  </sheetViews>
  <sheetFormatPr defaultRowHeight="15" x14ac:dyDescent="0.25"/>
  <cols>
    <col min="1" max="1" width="21.5546875" style="1" customWidth="1"/>
    <col min="2" max="7" width="19.44140625" style="1" customWidth="1"/>
    <col min="8" max="1025" width="11.5546875" style="1"/>
    <col min="1026" max="16384" width="8.88671875" style="3"/>
  </cols>
  <sheetData>
    <row r="1" spans="2:7" ht="17.399999999999999" x14ac:dyDescent="0.25">
      <c r="B1" s="2"/>
      <c r="C1" s="3"/>
      <c r="D1" s="3"/>
      <c r="E1" s="3"/>
      <c r="F1" s="3"/>
      <c r="G1" s="3"/>
    </row>
    <row r="2" spans="2:7" ht="17.399999999999999" x14ac:dyDescent="0.25">
      <c r="B2" s="4" t="s">
        <v>0</v>
      </c>
      <c r="C2" s="4"/>
      <c r="D2" s="4"/>
      <c r="E2" s="4"/>
      <c r="F2" s="3"/>
      <c r="G2" s="3"/>
    </row>
    <row r="3" spans="2:7" x14ac:dyDescent="0.25">
      <c r="B3" s="5"/>
      <c r="C3" s="3"/>
      <c r="D3" s="3"/>
      <c r="E3" s="3"/>
      <c r="F3" s="3"/>
      <c r="G3" s="3"/>
    </row>
    <row r="4" spans="2:7" x14ac:dyDescent="0.25">
      <c r="B4" s="5" t="s">
        <v>1</v>
      </c>
      <c r="C4" s="6" t="s">
        <v>15</v>
      </c>
      <c r="D4" s="6"/>
      <c r="E4" s="6"/>
      <c r="F4" s="3"/>
      <c r="G4" s="3"/>
    </row>
    <row r="5" spans="2:7" x14ac:dyDescent="0.25">
      <c r="B5" s="5"/>
      <c r="C5" s="3"/>
      <c r="D5" s="3"/>
      <c r="E5" s="3"/>
      <c r="F5" s="3"/>
      <c r="G5" s="3"/>
    </row>
    <row r="6" spans="2:7" x14ac:dyDescent="0.25">
      <c r="B6" s="5" t="s">
        <v>2</v>
      </c>
      <c r="C6" s="6" t="s">
        <v>16</v>
      </c>
      <c r="D6" s="6"/>
      <c r="E6" s="6"/>
      <c r="F6" s="3"/>
      <c r="G6" s="3"/>
    </row>
    <row r="7" spans="2:7" x14ac:dyDescent="0.25">
      <c r="B7" s="5"/>
      <c r="D7" s="3"/>
      <c r="E7" s="3"/>
      <c r="F7" s="3"/>
      <c r="G7" s="3"/>
    </row>
    <row r="8" spans="2:7" x14ac:dyDescent="0.25">
      <c r="B8" s="5"/>
      <c r="D8" s="3"/>
      <c r="E8" s="3"/>
      <c r="F8" s="3"/>
      <c r="G8" s="3"/>
    </row>
    <row r="9" spans="2:7" x14ac:dyDescent="0.25">
      <c r="B9" s="5"/>
      <c r="D9" s="3"/>
      <c r="E9" s="3"/>
      <c r="F9" s="3"/>
      <c r="G9" s="3"/>
    </row>
    <row r="10" spans="2:7" x14ac:dyDescent="0.25">
      <c r="B10" s="3"/>
      <c r="C10" s="7" t="s">
        <v>3</v>
      </c>
      <c r="D10" s="8">
        <v>0.86299999999999999</v>
      </c>
      <c r="E10" s="1" t="s">
        <v>17</v>
      </c>
      <c r="F10" s="3"/>
      <c r="G10" s="3"/>
    </row>
    <row r="11" spans="2:7" x14ac:dyDescent="0.25">
      <c r="B11" s="5"/>
      <c r="D11" s="3"/>
      <c r="E11" s="3"/>
      <c r="F11" s="3"/>
      <c r="G11" s="3"/>
    </row>
    <row r="12" spans="2:7" x14ac:dyDescent="0.25">
      <c r="B12" s="3"/>
      <c r="C12" s="9"/>
      <c r="D12" s="3"/>
      <c r="E12" s="3"/>
      <c r="F12" s="3"/>
      <c r="G12" s="3"/>
    </row>
    <row r="13" spans="2:7" x14ac:dyDescent="0.25">
      <c r="B13" s="3"/>
      <c r="C13" s="3"/>
      <c r="D13" s="3"/>
      <c r="E13" s="3"/>
      <c r="F13" s="3"/>
      <c r="G13" s="3"/>
    </row>
    <row r="14" spans="2:7" x14ac:dyDescent="0.25">
      <c r="B14" s="10" t="s">
        <v>4</v>
      </c>
      <c r="C14" s="3"/>
      <c r="D14" s="3"/>
      <c r="E14" s="3"/>
      <c r="F14" s="3"/>
      <c r="G14" s="3"/>
    </row>
    <row r="15" spans="2:7" ht="17.25" customHeight="1" x14ac:dyDescent="0.25">
      <c r="B15" s="11"/>
      <c r="C15" s="3"/>
      <c r="D15" s="3"/>
      <c r="E15" s="3"/>
      <c r="F15" s="3"/>
      <c r="G15" s="3"/>
    </row>
    <row r="16" spans="2:7" ht="17.25" customHeight="1" x14ac:dyDescent="0.25">
      <c r="B16" s="11"/>
      <c r="C16" s="3"/>
      <c r="D16" s="3"/>
      <c r="E16" s="3"/>
      <c r="F16" s="3"/>
      <c r="G16" s="3"/>
    </row>
    <row r="17" spans="2:7" x14ac:dyDescent="0.25">
      <c r="B17" s="3"/>
      <c r="C17" s="12" t="s">
        <v>18</v>
      </c>
      <c r="D17" s="12" t="s">
        <v>19</v>
      </c>
      <c r="E17" s="12" t="s">
        <v>20</v>
      </c>
      <c r="F17" s="13" t="s">
        <v>5</v>
      </c>
      <c r="G17" s="13" t="s">
        <v>6</v>
      </c>
    </row>
    <row r="18" spans="2:7" x14ac:dyDescent="0.25">
      <c r="B18" s="3"/>
      <c r="C18" s="12"/>
      <c r="D18" s="12"/>
      <c r="E18" s="12"/>
      <c r="F18" s="14" t="s">
        <v>21</v>
      </c>
      <c r="G18" s="15" t="s">
        <v>22</v>
      </c>
    </row>
    <row r="19" spans="2:7" x14ac:dyDescent="0.25">
      <c r="B19" s="3"/>
      <c r="C19" s="21">
        <v>1.5E-3</v>
      </c>
      <c r="D19" s="21">
        <v>4.3700000000000003E-2</v>
      </c>
      <c r="E19" s="16"/>
      <c r="F19" s="16"/>
      <c r="G19" s="16"/>
    </row>
    <row r="20" spans="2:7" x14ac:dyDescent="0.25">
      <c r="B20" s="3"/>
      <c r="C20" s="21">
        <v>3.4000000000000002E-2</v>
      </c>
      <c r="D20" s="22">
        <v>0.19170000000000001</v>
      </c>
      <c r="E20" s="22">
        <f>0.3906*(C20-C19)</f>
        <v>1.2694500000000001E-2</v>
      </c>
      <c r="F20" s="22">
        <f>(1/2)*0.863*(D20*D20-D19*D19)</f>
        <v>1.5033114800000004E-2</v>
      </c>
      <c r="G20" s="22">
        <f>E20-F20</f>
        <v>-2.338614800000003E-3</v>
      </c>
    </row>
    <row r="21" spans="2:7" x14ac:dyDescent="0.25">
      <c r="B21" s="3"/>
      <c r="C21" s="21">
        <v>7.5200000000000003E-2</v>
      </c>
      <c r="D21" s="21">
        <v>0.2833</v>
      </c>
      <c r="E21" s="22">
        <f>0.3906*(C21-C19)</f>
        <v>2.8787220000000002E-2</v>
      </c>
      <c r="F21" s="22">
        <f>(1/2)*0.863*(D21*D21-D19*D19)</f>
        <v>3.3807679799999997E-2</v>
      </c>
      <c r="G21" s="22">
        <f t="shared" ref="G21:G24" si="0">E21-F21</f>
        <v>-5.0204597999999948E-3</v>
      </c>
    </row>
    <row r="22" spans="2:7" x14ac:dyDescent="0.25">
      <c r="B22" s="3"/>
      <c r="C22" s="21">
        <v>0.13300000000000001</v>
      </c>
      <c r="D22" s="21">
        <v>0.37919999999999998</v>
      </c>
      <c r="E22" s="22">
        <f>0.3906*(C22-C19)</f>
        <v>5.1363900000000004E-2</v>
      </c>
      <c r="F22" s="22">
        <f>(1/2)*0.863*(D22*D22-D19*D19)</f>
        <v>6.1222492925000004E-2</v>
      </c>
      <c r="G22" s="22">
        <f t="shared" si="0"/>
        <v>-9.8585929249999996E-3</v>
      </c>
    </row>
    <row r="23" spans="2:7" x14ac:dyDescent="0.25">
      <c r="B23" s="3"/>
      <c r="C23" s="21">
        <v>0.2258</v>
      </c>
      <c r="D23" s="21">
        <v>0.48120000000000002</v>
      </c>
      <c r="E23" s="22">
        <f>0.3906*(C23-C19)</f>
        <v>8.7611579999999994E-2</v>
      </c>
      <c r="F23" s="22">
        <f>(1/2)*0.863*(D23*D23-D19^2)</f>
        <v>9.9091278125000015E-2</v>
      </c>
      <c r="G23" s="22">
        <f t="shared" si="0"/>
        <v>-1.1479698125000021E-2</v>
      </c>
    </row>
    <row r="24" spans="2:7" x14ac:dyDescent="0.25">
      <c r="B24" s="3"/>
      <c r="C24" s="21">
        <v>0.27529999999999999</v>
      </c>
      <c r="D24" s="21">
        <v>0.51870000000000005</v>
      </c>
      <c r="E24" s="22">
        <f>0.3906*(C24-C19)</f>
        <v>0.10694627999999999</v>
      </c>
      <c r="F24" s="22">
        <f>(1/2)*0.863*(D24*D24-D19^2)</f>
        <v>0.11527091000000002</v>
      </c>
      <c r="G24" s="22">
        <f t="shared" si="0"/>
        <v>-8.3246300000000273E-3</v>
      </c>
    </row>
    <row r="25" spans="2:7" ht="15.6" thickBot="1" x14ac:dyDescent="0.3">
      <c r="B25" s="3"/>
      <c r="C25" s="3"/>
      <c r="D25" s="3"/>
      <c r="E25" s="3"/>
      <c r="F25" s="3"/>
      <c r="G25" s="3"/>
    </row>
    <row r="26" spans="2:7" ht="18" thickBot="1" x14ac:dyDescent="0.35">
      <c r="B26" s="3"/>
      <c r="C26" s="3"/>
      <c r="D26" s="3"/>
      <c r="E26" s="17"/>
      <c r="F26" s="9" t="s">
        <v>7</v>
      </c>
      <c r="G26" s="23">
        <f>AVERAGE(G20:G24)</f>
        <v>-7.404399130000008E-3</v>
      </c>
    </row>
    <row r="27" spans="2:7" ht="15.6" thickBot="1" x14ac:dyDescent="0.3">
      <c r="B27" s="3"/>
      <c r="C27" s="9"/>
      <c r="D27" s="19"/>
      <c r="E27" s="3"/>
      <c r="F27" s="9" t="s">
        <v>8</v>
      </c>
      <c r="G27" s="23">
        <f>_xlfn.STDEV.S(G20:G24)</f>
        <v>3.702137610332717E-3</v>
      </c>
    </row>
    <row r="28" spans="2:7" ht="17.399999999999999" x14ac:dyDescent="0.3">
      <c r="B28" s="3"/>
      <c r="C28" s="9"/>
      <c r="D28" s="9"/>
      <c r="E28" s="17"/>
      <c r="F28" s="9" t="s">
        <v>9</v>
      </c>
      <c r="G28" s="23">
        <f>G27/SQRT(5)</f>
        <v>1.6556462717525165E-3</v>
      </c>
    </row>
    <row r="29" spans="2:7" x14ac:dyDescent="0.25">
      <c r="B29" s="3"/>
      <c r="C29" s="3"/>
      <c r="D29" s="3"/>
      <c r="E29" s="3"/>
      <c r="F29" s="3"/>
      <c r="G29" s="3"/>
    </row>
    <row r="30" spans="2:7" x14ac:dyDescent="0.25">
      <c r="B30" s="3"/>
      <c r="C30" s="3"/>
      <c r="D30" s="3"/>
      <c r="E30" s="3"/>
      <c r="F30" s="3"/>
      <c r="G30" s="3"/>
    </row>
    <row r="31" spans="2:7" x14ac:dyDescent="0.25">
      <c r="B31" s="3"/>
      <c r="C31" s="3"/>
      <c r="D31" s="3"/>
      <c r="E31" s="3"/>
      <c r="F31" s="3"/>
      <c r="G31" s="3"/>
    </row>
    <row r="32" spans="2:7" x14ac:dyDescent="0.25">
      <c r="B32" s="10" t="s">
        <v>10</v>
      </c>
      <c r="C32" s="3"/>
      <c r="D32" s="3"/>
      <c r="E32" s="3"/>
      <c r="F32" s="3"/>
      <c r="G32" s="3"/>
    </row>
    <row r="33" spans="2:7" ht="17.25" customHeight="1" x14ac:dyDescent="0.25">
      <c r="B33" s="11"/>
      <c r="C33" s="3"/>
      <c r="D33" s="3"/>
      <c r="E33" s="3"/>
      <c r="F33" s="3"/>
      <c r="G33" s="3"/>
    </row>
    <row r="34" spans="2:7" ht="17.25" customHeight="1" thickBot="1" x14ac:dyDescent="0.3">
      <c r="B34" s="11"/>
      <c r="C34" s="3"/>
      <c r="D34" s="3"/>
      <c r="E34" s="3"/>
      <c r="F34" s="3"/>
      <c r="G34" s="3"/>
    </row>
    <row r="35" spans="2:7" ht="15.6" thickBot="1" x14ac:dyDescent="0.3">
      <c r="B35" s="3"/>
      <c r="C35" s="12" t="s">
        <v>18</v>
      </c>
      <c r="D35" s="12" t="s">
        <v>19</v>
      </c>
      <c r="E35" s="12" t="s">
        <v>20</v>
      </c>
      <c r="F35" s="13" t="s">
        <v>5</v>
      </c>
      <c r="G35" s="13" t="s">
        <v>6</v>
      </c>
    </row>
    <row r="36" spans="2:7" ht="15.6" thickBot="1" x14ac:dyDescent="0.3">
      <c r="B36" s="3"/>
      <c r="C36" s="12"/>
      <c r="D36" s="12"/>
      <c r="E36" s="12"/>
      <c r="F36" s="14" t="s">
        <v>21</v>
      </c>
      <c r="G36" s="15" t="s">
        <v>22</v>
      </c>
    </row>
    <row r="37" spans="2:7" ht="15.6" thickBot="1" x14ac:dyDescent="0.3">
      <c r="B37" s="3"/>
      <c r="C37" s="21">
        <v>7.3200000000000001E-2</v>
      </c>
      <c r="D37" s="21">
        <v>0.3417</v>
      </c>
      <c r="E37" s="16"/>
      <c r="F37" s="16"/>
      <c r="G37" s="16"/>
    </row>
    <row r="38" spans="2:7" ht="15.6" thickBot="1" x14ac:dyDescent="0.3">
      <c r="B38" s="3"/>
      <c r="C38" s="21">
        <v>0.1265</v>
      </c>
      <c r="D38" s="22">
        <v>0.44369999999999998</v>
      </c>
      <c r="E38" s="22">
        <f>0.5691*(C38-C37)</f>
        <v>3.0333030000000004E-2</v>
      </c>
      <c r="F38" s="22">
        <f>(1/2)*0.863*(D38*D38-D37*D37)</f>
        <v>3.4567810199999993E-2</v>
      </c>
      <c r="G38" s="22">
        <f>E38-F38</f>
        <v>-4.2347801999999893E-3</v>
      </c>
    </row>
    <row r="39" spans="2:7" ht="15.6" thickBot="1" x14ac:dyDescent="0.3">
      <c r="B39" s="3"/>
      <c r="C39" s="21">
        <v>0.19350000000000001</v>
      </c>
      <c r="D39" s="21">
        <v>0.53959999999999997</v>
      </c>
      <c r="E39" s="22">
        <f>0.5691*(C39-C37)</f>
        <v>6.8462730000000013E-2</v>
      </c>
      <c r="F39" s="22">
        <f>(1/2)*0.863*(D39*D39-D37*D37)</f>
        <v>7.525760000499998E-2</v>
      </c>
      <c r="G39" s="22">
        <f>E39-F39</f>
        <v>-6.7948700049999672E-3</v>
      </c>
    </row>
    <row r="40" spans="2:7" ht="15.6" thickBot="1" x14ac:dyDescent="0.3">
      <c r="B40" s="3"/>
      <c r="C40" s="21">
        <v>0.26150000000000001</v>
      </c>
      <c r="D40" s="21">
        <v>0.62290000000000001</v>
      </c>
      <c r="E40" s="22">
        <f>0.5691*(C40-C37)</f>
        <v>0.10716153000000002</v>
      </c>
      <c r="F40" s="22">
        <f>(1/2)*0.863*(D40*D40-D37*D37)</f>
        <v>0.11704244188</v>
      </c>
      <c r="G40" s="22">
        <f t="shared" ref="G39:G42" si="1">E40-F40</f>
        <v>-9.8809118799999818E-3</v>
      </c>
    </row>
    <row r="41" spans="2:7" ht="15.6" thickBot="1" x14ac:dyDescent="0.3">
      <c r="B41" s="3"/>
      <c r="C41" s="21">
        <v>0.3528</v>
      </c>
      <c r="D41" s="21">
        <v>0.71250000000000002</v>
      </c>
      <c r="E41" s="22">
        <f>0.5691*(C41-C37)</f>
        <v>0.15912036000000002</v>
      </c>
      <c r="F41" s="22">
        <f>(1/2)*0.863*(D41*D41-D37^2)</f>
        <v>0.16867221084</v>
      </c>
      <c r="G41" s="22">
        <f t="shared" si="1"/>
        <v>-9.5518508399999869E-3</v>
      </c>
    </row>
    <row r="42" spans="2:7" ht="15.6" thickBot="1" x14ac:dyDescent="0.3">
      <c r="B42" s="3"/>
      <c r="C42" s="21">
        <v>0.39600000000000002</v>
      </c>
      <c r="D42" s="21">
        <v>0.74370000000000003</v>
      </c>
      <c r="E42" s="22">
        <f>0.5691*(C42-C37)</f>
        <v>0.18370548000000003</v>
      </c>
      <c r="F42" s="22">
        <f>(1/2)*0.863*(D42*D42-D37^2)</f>
        <v>0.18827674020000004</v>
      </c>
      <c r="G42" s="22">
        <f t="shared" si="1"/>
        <v>-4.5712602000000102E-3</v>
      </c>
    </row>
    <row r="43" spans="2:7" ht="15.6" thickBot="1" x14ac:dyDescent="0.3">
      <c r="B43" s="3"/>
      <c r="C43" s="3"/>
      <c r="D43" s="3"/>
      <c r="E43" s="3"/>
      <c r="F43" s="3"/>
      <c r="G43" s="3"/>
    </row>
    <row r="44" spans="2:7" ht="17.399999999999999" x14ac:dyDescent="0.3">
      <c r="B44" s="3"/>
      <c r="C44" s="9"/>
      <c r="D44" s="3"/>
      <c r="E44" s="17"/>
      <c r="F44" s="9" t="s">
        <v>7</v>
      </c>
      <c r="G44" s="23">
        <f>AVERAGE(G38:G42)</f>
        <v>-7.0067346249999872E-3</v>
      </c>
    </row>
    <row r="45" spans="2:7" x14ac:dyDescent="0.25">
      <c r="B45" s="3"/>
      <c r="C45" s="9"/>
      <c r="D45" s="19"/>
      <c r="E45" s="3"/>
      <c r="F45" s="9" t="s">
        <v>8</v>
      </c>
      <c r="G45" s="23">
        <f>_xlfn.STDEV.S(G38:G42)</f>
        <v>2.6645198942459136E-3</v>
      </c>
    </row>
    <row r="46" spans="2:7" ht="17.399999999999999" x14ac:dyDescent="0.3">
      <c r="B46" s="3"/>
      <c r="C46" s="9"/>
      <c r="D46" s="9"/>
      <c r="E46" s="17"/>
      <c r="F46" s="9" t="s">
        <v>9</v>
      </c>
      <c r="G46" s="23">
        <f>G45/SQRT(5)</f>
        <v>1.1916095221868827E-3</v>
      </c>
    </row>
    <row r="47" spans="2:7" x14ac:dyDescent="0.25">
      <c r="B47" s="3"/>
      <c r="C47" s="3"/>
      <c r="D47" s="3"/>
      <c r="E47" s="3"/>
      <c r="F47" s="3"/>
      <c r="G47" s="3"/>
    </row>
    <row r="48" spans="2:7" x14ac:dyDescent="0.25">
      <c r="B48" s="3"/>
      <c r="C48" s="3"/>
      <c r="D48" s="3"/>
      <c r="E48" s="3"/>
      <c r="F48" s="3"/>
      <c r="G48" s="3"/>
    </row>
    <row r="49" spans="2:7" x14ac:dyDescent="0.25">
      <c r="B49" s="3"/>
      <c r="C49" s="3"/>
      <c r="D49" s="3"/>
      <c r="E49" s="3"/>
      <c r="F49" s="3"/>
      <c r="G49" s="3"/>
    </row>
    <row r="50" spans="2:7" x14ac:dyDescent="0.25">
      <c r="B50" s="10" t="s">
        <v>11</v>
      </c>
      <c r="C50" s="3"/>
      <c r="D50" s="3"/>
      <c r="E50" s="3"/>
      <c r="F50" s="3"/>
      <c r="G50" s="3"/>
    </row>
    <row r="51" spans="2:7" ht="17.25" customHeight="1" x14ac:dyDescent="0.25">
      <c r="B51" s="11"/>
      <c r="C51" s="3"/>
      <c r="D51" s="3"/>
      <c r="E51" s="3"/>
      <c r="F51" s="3"/>
      <c r="G51" s="3"/>
    </row>
    <row r="52" spans="2:7" ht="17.25" customHeight="1" x14ac:dyDescent="0.25">
      <c r="B52" s="11"/>
      <c r="C52" s="3"/>
      <c r="D52" s="3"/>
      <c r="E52" s="3"/>
      <c r="F52" s="3"/>
      <c r="G52" s="3"/>
    </row>
    <row r="53" spans="2:7" x14ac:dyDescent="0.25">
      <c r="B53" s="3"/>
      <c r="C53" s="12" t="s">
        <v>18</v>
      </c>
      <c r="D53" s="12" t="s">
        <v>19</v>
      </c>
      <c r="E53" s="12" t="s">
        <v>20</v>
      </c>
      <c r="F53" s="13" t="s">
        <v>5</v>
      </c>
      <c r="G53" s="13" t="s">
        <v>6</v>
      </c>
    </row>
    <row r="54" spans="2:7" x14ac:dyDescent="0.25">
      <c r="B54" s="3"/>
      <c r="C54" s="12"/>
      <c r="D54" s="12"/>
      <c r="E54" s="12"/>
      <c r="F54" s="14" t="s">
        <v>21</v>
      </c>
      <c r="G54" s="15" t="s">
        <v>22</v>
      </c>
    </row>
    <row r="55" spans="2:7" x14ac:dyDescent="0.25">
      <c r="B55" s="3"/>
      <c r="C55" s="21">
        <v>4.8300000000000003E-2</v>
      </c>
      <c r="D55" s="21">
        <v>0.30830000000000002</v>
      </c>
      <c r="E55" s="16"/>
      <c r="F55" s="16"/>
      <c r="G55" s="16"/>
    </row>
    <row r="56" spans="2:7" x14ac:dyDescent="0.25">
      <c r="B56" s="3"/>
      <c r="C56" s="21">
        <v>0.124</v>
      </c>
      <c r="D56" s="22">
        <v>0.48330000000000001</v>
      </c>
      <c r="E56" s="22">
        <f>0.7232*(C56-C55)</f>
        <v>5.4746239999999988E-2</v>
      </c>
      <c r="F56" s="22">
        <f>(1/2)*0.863*(D56*D56-D55*D55)</f>
        <v>5.9775694999999997E-2</v>
      </c>
      <c r="G56" s="22">
        <f>E56-F56</f>
        <v>-5.0294550000000091E-3</v>
      </c>
    </row>
    <row r="57" spans="2:7" x14ac:dyDescent="0.25">
      <c r="B57" s="3"/>
      <c r="C57" s="21">
        <v>0.19769999999999999</v>
      </c>
      <c r="D57" s="21">
        <v>0.60419999999999996</v>
      </c>
      <c r="E57" s="22">
        <f>0.7232*(C57-C55)</f>
        <v>0.10804607999999997</v>
      </c>
      <c r="F57" s="22">
        <f>(1/2)*0.863*(D57*D57-D55*D55)</f>
        <v>0.11650877562499998</v>
      </c>
      <c r="G57" s="22">
        <f>E57-F57</f>
        <v>-8.4626956250000024E-3</v>
      </c>
    </row>
    <row r="58" spans="2:7" x14ac:dyDescent="0.25">
      <c r="B58" s="3"/>
      <c r="C58" s="21">
        <v>0.2878</v>
      </c>
      <c r="D58" s="21">
        <v>0.71250000000000002</v>
      </c>
      <c r="E58" s="22">
        <f>0.7232*(C58-C55)</f>
        <v>0.17320639999999998</v>
      </c>
      <c r="F58" s="22">
        <f>(1/2)*0.863*(D58*D58-D55*D55)</f>
        <v>0.17804007584000001</v>
      </c>
      <c r="G58" s="22">
        <f t="shared" ref="G58:G60" si="2">E58-F58</f>
        <v>-4.8336758400000235E-3</v>
      </c>
    </row>
    <row r="59" spans="2:7" x14ac:dyDescent="0.25">
      <c r="B59" s="3"/>
      <c r="C59" s="21">
        <v>0.39319999999999999</v>
      </c>
      <c r="D59" s="21">
        <v>0.82920000000000005</v>
      </c>
      <c r="E59" s="22">
        <f>0.7232*(C59-C55)</f>
        <v>0.24943167999999996</v>
      </c>
      <c r="F59" s="22">
        <f>(1/2)*0.863*(D59*D59-D55^2)</f>
        <v>0.25567399812500002</v>
      </c>
      <c r="G59" s="22">
        <f t="shared" si="2"/>
        <v>-6.2423181250000626E-3</v>
      </c>
    </row>
    <row r="60" spans="2:7" x14ac:dyDescent="0.25">
      <c r="B60" s="3"/>
      <c r="C60" s="21">
        <v>0.47849999999999998</v>
      </c>
      <c r="D60" s="21">
        <v>0.91249999999999998</v>
      </c>
      <c r="E60" s="22">
        <f>0.7232*(C60-C55)</f>
        <v>0.31112063999999995</v>
      </c>
      <c r="F60" s="22">
        <f>(1/2)*0.863*(D60*D60-D55^2)</f>
        <v>0.31827757583999999</v>
      </c>
      <c r="G60" s="22">
        <f t="shared" si="2"/>
        <v>-7.1569358400000449E-3</v>
      </c>
    </row>
    <row r="61" spans="2:7" x14ac:dyDescent="0.25">
      <c r="B61" s="3"/>
      <c r="C61" s="3"/>
      <c r="D61" s="3"/>
      <c r="E61" s="3"/>
      <c r="F61" s="3"/>
      <c r="G61" s="3"/>
    </row>
    <row r="62" spans="2:7" ht="17.399999999999999" x14ac:dyDescent="0.3">
      <c r="B62" s="3"/>
      <c r="C62" s="9"/>
      <c r="D62" s="3"/>
      <c r="E62" s="17"/>
      <c r="F62" s="9" t="s">
        <v>7</v>
      </c>
      <c r="G62" s="23">
        <f>AVERAGE(G56:G60)</f>
        <v>-6.3450160860000285E-3</v>
      </c>
    </row>
    <row r="63" spans="2:7" x14ac:dyDescent="0.25">
      <c r="B63" s="3"/>
      <c r="C63" s="9"/>
      <c r="D63" s="19"/>
      <c r="E63" s="3"/>
      <c r="F63" s="9" t="s">
        <v>8</v>
      </c>
      <c r="G63" s="23">
        <f>_xlfn.STDEV.S(G56:G60)</f>
        <v>1.51403248794445E-3</v>
      </c>
    </row>
    <row r="64" spans="2:7" ht="17.399999999999999" x14ac:dyDescent="0.3">
      <c r="B64" s="3"/>
      <c r="C64" s="9"/>
      <c r="D64" s="9"/>
      <c r="E64" s="17"/>
      <c r="F64" s="9" t="s">
        <v>9</v>
      </c>
      <c r="G64" s="23">
        <f>G63/SQRT(5)</f>
        <v>6.7709591263738424E-4</v>
      </c>
    </row>
    <row r="65" spans="2:7" x14ac:dyDescent="0.25">
      <c r="B65" s="3"/>
      <c r="C65" s="3"/>
      <c r="D65" s="3"/>
      <c r="E65" s="3"/>
      <c r="F65" s="3"/>
      <c r="G65" s="3"/>
    </row>
    <row r="66" spans="2:7" x14ac:dyDescent="0.25">
      <c r="B66" s="3"/>
      <c r="C66" s="3"/>
      <c r="D66" s="3"/>
      <c r="E66" s="3"/>
      <c r="F66" s="3"/>
      <c r="G66" s="3"/>
    </row>
    <row r="67" spans="2:7" x14ac:dyDescent="0.25">
      <c r="B67" s="3"/>
      <c r="C67" s="3"/>
      <c r="D67" s="3"/>
      <c r="E67" s="3"/>
      <c r="F67" s="3"/>
      <c r="G67" s="3"/>
    </row>
    <row r="68" spans="2:7" x14ac:dyDescent="0.25">
      <c r="B68" s="3"/>
      <c r="C68" s="3"/>
      <c r="D68" s="3"/>
      <c r="E68" s="3"/>
      <c r="F68" s="3"/>
      <c r="G68" s="3"/>
    </row>
    <row r="69" spans="2:7" x14ac:dyDescent="0.25">
      <c r="B69" s="10" t="s">
        <v>12</v>
      </c>
      <c r="C69" s="3"/>
      <c r="D69" s="3"/>
      <c r="E69" s="3"/>
      <c r="F69" s="3"/>
      <c r="G69" s="3"/>
    </row>
    <row r="70" spans="2:7" x14ac:dyDescent="0.25">
      <c r="C70" s="20"/>
      <c r="D70" s="3"/>
      <c r="E70" s="3"/>
      <c r="F70" s="3"/>
      <c r="G70" s="3"/>
    </row>
    <row r="71" spans="2:7" ht="17.399999999999999" x14ac:dyDescent="0.3">
      <c r="C71" s="9" t="s">
        <v>14</v>
      </c>
      <c r="D71" s="23">
        <f>(G26+G62+G44)/3</f>
        <v>-6.9187166136666749E-3</v>
      </c>
      <c r="E71" s="17" t="s">
        <v>13</v>
      </c>
      <c r="F71" s="18">
        <v>1E-3</v>
      </c>
      <c r="G71" s="1" t="s">
        <v>23</v>
      </c>
    </row>
  </sheetData>
  <mergeCells count="12">
    <mergeCell ref="C35:C36"/>
    <mergeCell ref="D35:D36"/>
    <mergeCell ref="E35:E36"/>
    <mergeCell ref="C53:C54"/>
    <mergeCell ref="D53:D54"/>
    <mergeCell ref="E53:E54"/>
    <mergeCell ref="B2:E2"/>
    <mergeCell ref="C4:E4"/>
    <mergeCell ref="C6:E6"/>
    <mergeCell ref="C17:C18"/>
    <mergeCell ref="D17:D18"/>
    <mergeCell ref="E17:E18"/>
  </mergeCells>
  <pageMargins left="0.78749999999999998" right="0.78749999999999998" top="1.0263888888888899" bottom="1.0249999999999999" header="0.78749999999999998" footer="0.78749999999999998"/>
  <pageSetup orientation="portrait" useFirstPageNumber="1" horizontalDpi="300" verticalDpi="300" r:id="rId1"/>
  <headerFooter>
    <oddHeader>&amp;LPHYS 2211&amp;CStatistics and Error Analysis&amp;RLab 01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5715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Devin Fromond</dc:creator>
  <dc:description/>
  <cp:lastModifiedBy>Devin Fromond</cp:lastModifiedBy>
  <cp:revision>26</cp:revision>
  <dcterms:created xsi:type="dcterms:W3CDTF">2017-08-29T14:16:48Z</dcterms:created>
  <dcterms:modified xsi:type="dcterms:W3CDTF">2023-03-09T19:29:01Z</dcterms:modified>
  <dc:language>en-US</dc:language>
</cp:coreProperties>
</file>