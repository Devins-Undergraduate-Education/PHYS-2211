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8_{F7523B36-1F48-4FE7-B556-7C40FDFC85E8}" xr6:coauthVersionLast="47" xr6:coauthVersionMax="47" xr10:uidLastSave="{00000000-0000-0000-0000-000000000000}"/>
  <bookViews>
    <workbookView xWindow="-108" yWindow="-108" windowWidth="23256" windowHeight="12456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" l="1"/>
  <c r="H70" i="1"/>
  <c r="H68" i="1"/>
  <c r="G62" i="1"/>
  <c r="G63" i="1"/>
  <c r="G64" i="1"/>
  <c r="G65" i="1"/>
  <c r="G66" i="1"/>
  <c r="G61" i="1"/>
  <c r="F66" i="1"/>
  <c r="H66" i="1" s="1"/>
  <c r="F65" i="1"/>
  <c r="H65" i="1" s="1"/>
  <c r="F64" i="1"/>
  <c r="H64" i="1" s="1"/>
  <c r="F63" i="1"/>
  <c r="H63" i="1" s="1"/>
  <c r="F62" i="1"/>
  <c r="F61" i="1"/>
  <c r="G39" i="1"/>
  <c r="G40" i="1"/>
  <c r="G41" i="1"/>
  <c r="G42" i="1"/>
  <c r="G43" i="1"/>
  <c r="G44" i="1"/>
  <c r="H42" i="1"/>
  <c r="F40" i="1"/>
  <c r="F41" i="1"/>
  <c r="H41" i="1" s="1"/>
  <c r="F42" i="1"/>
  <c r="F43" i="1"/>
  <c r="F44" i="1"/>
  <c r="F39" i="1"/>
  <c r="H28" i="1"/>
  <c r="H26" i="1"/>
  <c r="H24" i="1"/>
  <c r="G18" i="1"/>
  <c r="G19" i="1"/>
  <c r="G20" i="1"/>
  <c r="G21" i="1"/>
  <c r="G22" i="1"/>
  <c r="G17" i="1"/>
  <c r="H18" i="1"/>
  <c r="H19" i="1"/>
  <c r="H20" i="1"/>
  <c r="H21" i="1"/>
  <c r="H17" i="1"/>
  <c r="H22" i="1"/>
  <c r="F18" i="1"/>
  <c r="F19" i="1"/>
  <c r="F20" i="1"/>
  <c r="F21" i="1"/>
  <c r="F22" i="1"/>
  <c r="F17" i="1"/>
  <c r="D56" i="1"/>
  <c r="D34" i="1"/>
  <c r="H62" i="1" l="1"/>
  <c r="H61" i="1"/>
  <c r="H44" i="1"/>
  <c r="H43" i="1"/>
  <c r="H39" i="1"/>
  <c r="H40" i="1"/>
  <c r="H48" i="1" l="1"/>
  <c r="H50" i="1" s="1"/>
  <c r="H46" i="1"/>
</calcChain>
</file>

<file path=xl/sharedStrings.xml><?xml version="1.0" encoding="utf-8"?>
<sst xmlns="http://schemas.openxmlformats.org/spreadsheetml/2006/main" count="59" uniqueCount="23">
  <si>
    <t>Lab 13 – Mechanical Energy</t>
  </si>
  <si>
    <t>Your Name:</t>
  </si>
  <si>
    <t>Partner(s):</t>
  </si>
  <si>
    <t>Experiment 1 – Cart</t>
  </si>
  <si>
    <t>Cart Mass:</t>
  </si>
  <si>
    <t>Support Separation:</t>
  </si>
  <si>
    <t>Riser Height:</t>
  </si>
  <si>
    <t>Minimum Position:</t>
  </si>
  <si>
    <t>Average:</t>
  </si>
  <si>
    <t>Standard Deviation:</t>
  </si>
  <si>
    <t>Standard Error:</t>
  </si>
  <si>
    <t>Experiment 2 – Cart and One Block</t>
  </si>
  <si>
    <t>Experiment 3 – Cart and Two Blocks</t>
  </si>
  <si>
    <t>Devin Fromond</t>
  </si>
  <si>
    <t>Carlos Hernendez, Evan Romero</t>
  </si>
  <si>
    <t>(kg)</t>
  </si>
  <si>
    <t>(m)</t>
  </si>
  <si>
    <t>Time (s)</t>
  </si>
  <si>
    <t>Position (m)</t>
  </si>
  <si>
    <t>Velocity (m/s)</t>
  </si>
  <si>
    <t>Kinetic Energy (J)</t>
  </si>
  <si>
    <t>Pot. Energy (J)</t>
  </si>
  <si>
    <t>Mech. Energy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</si>
</sst>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0"/>
      <name val="Arial"/>
      <family val="2"/>
    </font>
    <font>
      <sz val="12"/>
      <name val="Century"/>
      <family val="1"/>
    </font>
    <font>
      <b/>
      <sz val="12"/>
      <name val="Century"/>
      <family val="1"/>
    </font>
    <font>
      <sz val="10"/>
      <name val="Century"/>
      <family val="1"/>
    </font>
    <font>
      <b/>
      <sz val="14"/>
      <name val="Century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0" xfId="0" applyNumberFormat="1" applyFont="1"/>
    <xf numFmtId="2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2"/>
  <sheetViews>
    <sheetView showGridLines="0" tabSelected="1" topLeftCell="A60" zoomScale="64" zoomScaleNormal="100" workbookViewId="0">
      <selection activeCell="J65" sqref="J65"/>
    </sheetView>
  </sheetViews>
  <sheetFormatPr defaultRowHeight="15" x14ac:dyDescent="0.25"/>
  <cols>
    <col min="1" max="5" width="19.44140625" style="1"/>
    <col min="6" max="6" width="20.77734375" style="1" customWidth="1"/>
    <col min="7" max="8" width="19.44140625" style="1"/>
    <col min="9" max="1025" width="11.5546875" style="1"/>
    <col min="1026" max="16384" width="8.88671875" style="3"/>
  </cols>
  <sheetData>
    <row r="1" spans="2:9" x14ac:dyDescent="0.25">
      <c r="B1" s="2"/>
    </row>
    <row r="2" spans="2:9" ht="17.399999999999999" x14ac:dyDescent="0.25">
      <c r="B2" s="19" t="s">
        <v>0</v>
      </c>
      <c r="C2" s="19"/>
      <c r="D2" s="19"/>
      <c r="E2" s="19"/>
    </row>
    <row r="3" spans="2:9" x14ac:dyDescent="0.25">
      <c r="B3" s="4"/>
    </row>
    <row r="4" spans="2:9" x14ac:dyDescent="0.25">
      <c r="B4" s="4" t="s">
        <v>1</v>
      </c>
      <c r="C4" s="20" t="s">
        <v>13</v>
      </c>
      <c r="D4" s="20"/>
      <c r="E4" s="20"/>
    </row>
    <row r="5" spans="2:9" x14ac:dyDescent="0.25">
      <c r="B5" s="4"/>
    </row>
    <row r="6" spans="2:9" x14ac:dyDescent="0.25">
      <c r="B6" s="4" t="s">
        <v>2</v>
      </c>
      <c r="C6" s="20" t="s">
        <v>14</v>
      </c>
      <c r="D6" s="20"/>
      <c r="E6" s="20"/>
    </row>
    <row r="7" spans="2:9" x14ac:dyDescent="0.25">
      <c r="C7" s="6"/>
    </row>
    <row r="10" spans="2:9" x14ac:dyDescent="0.25">
      <c r="B10" s="7" t="s">
        <v>3</v>
      </c>
    </row>
    <row r="11" spans="2:9" ht="17.25" customHeight="1" x14ac:dyDescent="0.25">
      <c r="B11" s="2"/>
    </row>
    <row r="12" spans="2:9" ht="17.25" customHeight="1" thickBot="1" x14ac:dyDescent="0.3">
      <c r="C12" s="6" t="s">
        <v>4</v>
      </c>
      <c r="D12" s="5">
        <v>0.497</v>
      </c>
      <c r="E12" s="1" t="s">
        <v>15</v>
      </c>
      <c r="G12" s="6" t="s">
        <v>5</v>
      </c>
      <c r="H12" s="5">
        <v>1.4</v>
      </c>
      <c r="I12" s="1" t="s">
        <v>16</v>
      </c>
    </row>
    <row r="13" spans="2:9" ht="17.25" customHeight="1" thickBot="1" x14ac:dyDescent="0.3"/>
    <row r="14" spans="2:9" ht="17.25" customHeight="1" thickBot="1" x14ac:dyDescent="0.3">
      <c r="C14" s="6" t="s">
        <v>6</v>
      </c>
      <c r="D14" s="5">
        <v>0.05</v>
      </c>
      <c r="E14" s="1" t="s">
        <v>16</v>
      </c>
      <c r="G14" s="6" t="s">
        <v>7</v>
      </c>
      <c r="H14" s="5">
        <v>0.48520000000000002</v>
      </c>
      <c r="I14" s="1" t="s">
        <v>16</v>
      </c>
    </row>
    <row r="15" spans="2:9" ht="15.6" thickBot="1" x14ac:dyDescent="0.3">
      <c r="C15" s="2"/>
    </row>
    <row r="16" spans="2:9" ht="15.6" thickBot="1" x14ac:dyDescent="0.3">
      <c r="C16" s="8" t="s">
        <v>17</v>
      </c>
      <c r="D16" s="8" t="s">
        <v>18</v>
      </c>
      <c r="E16" s="8" t="s">
        <v>19</v>
      </c>
      <c r="F16" s="8" t="s">
        <v>20</v>
      </c>
      <c r="G16" s="8" t="s">
        <v>21</v>
      </c>
      <c r="H16" s="8" t="s">
        <v>22</v>
      </c>
    </row>
    <row r="17" spans="2:8" ht="15.6" thickBot="1" x14ac:dyDescent="0.3">
      <c r="C17" s="8">
        <v>0.57999999999999996</v>
      </c>
      <c r="D17" s="11">
        <v>0.82789999999999997</v>
      </c>
      <c r="E17" s="11">
        <v>-0.50490000000000002</v>
      </c>
      <c r="F17" s="11">
        <f>0.5*0.497*E17*E17</f>
        <v>6.3348616485000009E-2</v>
      </c>
      <c r="G17" s="11">
        <f>0.497*9.81*(0.48-D17)*(0.05/1.4)</f>
        <v>-6.057895725000001E-2</v>
      </c>
      <c r="H17" s="11">
        <f>F17+G17</f>
        <v>2.7696592349999993E-3</v>
      </c>
    </row>
    <row r="18" spans="2:8" x14ac:dyDescent="0.25">
      <c r="C18" s="8">
        <v>1.1200000000000001</v>
      </c>
      <c r="D18" s="15">
        <v>0.59860000000000002</v>
      </c>
      <c r="E18" s="15">
        <v>-0.3044</v>
      </c>
      <c r="F18" s="11">
        <f t="shared" ref="F18:F22" si="0">0.5*0.497*E18*E18</f>
        <v>2.302585096E-2</v>
      </c>
      <c r="G18" s="11">
        <f t="shared" ref="G18:G22" si="1">0.497*9.81*(0.48-D18)*(0.05/1.4)</f>
        <v>-2.0651521500000009E-2</v>
      </c>
      <c r="H18" s="11">
        <f t="shared" ref="H18:H22" si="2">F18+G18</f>
        <v>2.3743294599999909E-3</v>
      </c>
    </row>
    <row r="19" spans="2:8" x14ac:dyDescent="0.25">
      <c r="C19" s="8">
        <v>1.64</v>
      </c>
      <c r="D19" s="11">
        <v>0.49109999999999998</v>
      </c>
      <c r="E19" s="11">
        <v>-8.4199999999999997E-2</v>
      </c>
      <c r="F19" s="11">
        <f t="shared" si="0"/>
        <v>1.7617755399999999E-3</v>
      </c>
      <c r="G19" s="11">
        <f t="shared" si="1"/>
        <v>-1.9328152500000004E-3</v>
      </c>
      <c r="H19" s="11">
        <f t="shared" si="2"/>
        <v>-1.7103971000000042E-4</v>
      </c>
    </row>
    <row r="20" spans="2:8" x14ac:dyDescent="0.25">
      <c r="C20" s="8">
        <v>2.36</v>
      </c>
      <c r="D20" s="11">
        <v>0.51590000000000003</v>
      </c>
      <c r="E20" s="11">
        <v>0.16800000000000001</v>
      </c>
      <c r="F20" s="11">
        <f t="shared" si="0"/>
        <v>7.0136640000000002E-3</v>
      </c>
      <c r="G20" s="11">
        <f t="shared" si="1"/>
        <v>-6.2511772500000095E-3</v>
      </c>
      <c r="H20" s="11">
        <f t="shared" si="2"/>
        <v>7.6248674999999065E-4</v>
      </c>
    </row>
    <row r="21" spans="2:8" x14ac:dyDescent="0.25">
      <c r="C21" s="8">
        <v>3.34</v>
      </c>
      <c r="D21" s="11">
        <v>0.83079999999999998</v>
      </c>
      <c r="E21" s="11">
        <v>0.48620000000000002</v>
      </c>
      <c r="F21" s="11">
        <f t="shared" si="0"/>
        <v>5.8743024340000005E-2</v>
      </c>
      <c r="G21" s="11">
        <f t="shared" si="1"/>
        <v>-6.1083927000000017E-2</v>
      </c>
      <c r="H21" s="11">
        <f t="shared" si="2"/>
        <v>-2.3409026600000118E-3</v>
      </c>
    </row>
    <row r="22" spans="2:8" x14ac:dyDescent="0.25">
      <c r="C22" s="8">
        <v>4.12</v>
      </c>
      <c r="D22" s="11">
        <v>1.3097000000000001</v>
      </c>
      <c r="E22" s="11">
        <v>0.74519999999999997</v>
      </c>
      <c r="F22" s="11">
        <f t="shared" si="0"/>
        <v>0.13799777544</v>
      </c>
      <c r="G22" s="11">
        <f t="shared" si="1"/>
        <v>-0.14447358675000005</v>
      </c>
      <c r="H22" s="11">
        <f t="shared" si="2"/>
        <v>-6.4758113100000514E-3</v>
      </c>
    </row>
    <row r="23" spans="2:8" x14ac:dyDescent="0.25">
      <c r="F23" s="14"/>
      <c r="G23" s="14"/>
      <c r="H23" s="14"/>
    </row>
    <row r="24" spans="2:8" x14ac:dyDescent="0.25">
      <c r="C24" s="6"/>
      <c r="G24" s="6" t="s">
        <v>8</v>
      </c>
      <c r="H24" s="16">
        <f>AVERAGE(H17:H22)</f>
        <v>-5.1354637250001372E-4</v>
      </c>
    </row>
    <row r="25" spans="2:8" x14ac:dyDescent="0.25">
      <c r="C25" s="6"/>
      <c r="G25" s="6"/>
      <c r="H25" s="9"/>
    </row>
    <row r="26" spans="2:8" x14ac:dyDescent="0.25">
      <c r="C26" s="6"/>
      <c r="G26" s="6" t="s">
        <v>9</v>
      </c>
      <c r="H26" s="17">
        <f>_xlfn.STDEV.S(H17:H22)</f>
        <v>3.456954480899025E-3</v>
      </c>
    </row>
    <row r="27" spans="2:8" x14ac:dyDescent="0.25">
      <c r="G27" s="6"/>
    </row>
    <row r="28" spans="2:8" x14ac:dyDescent="0.25">
      <c r="G28" s="6" t="s">
        <v>10</v>
      </c>
      <c r="H28" s="17">
        <f>H26/SQRT(6)</f>
        <v>1.411295757038418E-3</v>
      </c>
    </row>
    <row r="32" spans="2:8" x14ac:dyDescent="0.25">
      <c r="B32" s="7" t="s">
        <v>11</v>
      </c>
    </row>
    <row r="33" spans="2:9" ht="17.25" customHeight="1" x14ac:dyDescent="0.25">
      <c r="B33" s="2"/>
    </row>
    <row r="34" spans="2:9" ht="17.25" customHeight="1" x14ac:dyDescent="0.25">
      <c r="C34" s="6" t="s">
        <v>4</v>
      </c>
      <c r="D34" s="5">
        <f>0.495 + 0.497</f>
        <v>0.99199999999999999</v>
      </c>
      <c r="E34" s="1" t="s">
        <v>15</v>
      </c>
      <c r="G34" s="6" t="s">
        <v>5</v>
      </c>
      <c r="H34" s="5">
        <v>1.4</v>
      </c>
      <c r="I34" s="1" t="s">
        <v>16</v>
      </c>
    </row>
    <row r="35" spans="2:9" ht="17.25" customHeight="1" x14ac:dyDescent="0.25"/>
    <row r="36" spans="2:9" ht="17.25" customHeight="1" x14ac:dyDescent="0.25">
      <c r="C36" s="6" t="s">
        <v>6</v>
      </c>
      <c r="D36" s="5">
        <v>0.05</v>
      </c>
      <c r="E36" s="1" t="s">
        <v>16</v>
      </c>
      <c r="G36" s="6" t="s">
        <v>7</v>
      </c>
      <c r="H36" s="5">
        <v>0.45490000000000003</v>
      </c>
      <c r="I36" s="1" t="s">
        <v>16</v>
      </c>
    </row>
    <row r="37" spans="2:9" x14ac:dyDescent="0.25">
      <c r="C37" s="2"/>
    </row>
    <row r="38" spans="2:9" x14ac:dyDescent="0.25">
      <c r="C38" s="8" t="s">
        <v>17</v>
      </c>
      <c r="D38" s="8" t="s">
        <v>18</v>
      </c>
      <c r="E38" s="8" t="s">
        <v>19</v>
      </c>
      <c r="F38" s="8" t="s">
        <v>20</v>
      </c>
      <c r="G38" s="8" t="s">
        <v>21</v>
      </c>
      <c r="H38" s="8" t="s">
        <v>22</v>
      </c>
    </row>
    <row r="39" spans="2:9" x14ac:dyDescent="0.25">
      <c r="C39" s="10">
        <v>0.5</v>
      </c>
      <c r="D39" s="11">
        <v>0.94540000000000002</v>
      </c>
      <c r="E39" s="11">
        <v>-0.63280000000000003</v>
      </c>
      <c r="F39" s="11">
        <f>0.5*0.992*E39*E39</f>
        <v>0.19861617664</v>
      </c>
      <c r="G39" s="11">
        <f>0.992*9.81*(0.4549-D39)*(0.05/1.4)</f>
        <v>-0.17047537714285715</v>
      </c>
      <c r="H39" s="11">
        <f>F39+G39</f>
        <v>2.8140799497142849E-2</v>
      </c>
    </row>
    <row r="40" spans="2:9" x14ac:dyDescent="0.25">
      <c r="C40" s="10">
        <v>1.5</v>
      </c>
      <c r="D40" s="15">
        <v>0.5161</v>
      </c>
      <c r="E40" s="15">
        <v>-0.215</v>
      </c>
      <c r="F40" s="11">
        <f t="shared" ref="F40:F44" si="3">0.5*0.992*E40*E40</f>
        <v>2.2927599999999999E-2</v>
      </c>
      <c r="G40" s="11">
        <f t="shared" ref="G40:G44" si="4">0.992*9.81*(0.4549-D40)*(0.05/1.4)</f>
        <v>-2.127032228571428E-2</v>
      </c>
      <c r="H40" s="11">
        <f t="shared" ref="H40:H44" si="5">F40+G40</f>
        <v>1.6572777142857195E-3</v>
      </c>
    </row>
    <row r="41" spans="2:9" x14ac:dyDescent="0.25">
      <c r="C41" s="10">
        <v>2</v>
      </c>
      <c r="D41" s="11">
        <v>0.45519999999999999</v>
      </c>
      <c r="E41" s="11">
        <v>-9.4999999999999998E-3</v>
      </c>
      <c r="F41" s="11">
        <f t="shared" si="3"/>
        <v>4.4764E-5</v>
      </c>
      <c r="G41" s="11">
        <f t="shared" si="4"/>
        <v>-1.0426628571427423E-4</v>
      </c>
      <c r="H41" s="11">
        <f t="shared" si="5"/>
        <v>-5.9502285714274228E-5</v>
      </c>
    </row>
    <row r="42" spans="2:9" x14ac:dyDescent="0.25">
      <c r="C42" s="10">
        <v>2.5</v>
      </c>
      <c r="D42" s="11">
        <v>0.49490000000000001</v>
      </c>
      <c r="E42" s="11">
        <v>0.17680000000000001</v>
      </c>
      <c r="F42" s="11">
        <f t="shared" si="3"/>
        <v>1.5504087040000001E-2</v>
      </c>
      <c r="G42" s="11">
        <f t="shared" si="4"/>
        <v>-1.3902171428571423E-2</v>
      </c>
      <c r="H42" s="11">
        <f t="shared" si="5"/>
        <v>1.6019156114285785E-3</v>
      </c>
    </row>
    <row r="43" spans="2:9" x14ac:dyDescent="0.25">
      <c r="C43" s="10">
        <v>3.5</v>
      </c>
      <c r="D43" s="11">
        <v>0.82840000000000003</v>
      </c>
      <c r="E43" s="11">
        <v>0.48449999999999999</v>
      </c>
      <c r="F43" s="11">
        <f t="shared" si="3"/>
        <v>0.11643116399999999</v>
      </c>
      <c r="G43" s="11">
        <f t="shared" si="4"/>
        <v>-0.12981152571428572</v>
      </c>
      <c r="H43" s="11">
        <f t="shared" si="5"/>
        <v>-1.3380361714285735E-2</v>
      </c>
    </row>
    <row r="44" spans="2:9" x14ac:dyDescent="0.25">
      <c r="C44" s="10">
        <v>4</v>
      </c>
      <c r="D44" s="11">
        <v>1.1231</v>
      </c>
      <c r="E44" s="11">
        <v>0.6764</v>
      </c>
      <c r="F44" s="11">
        <f t="shared" si="3"/>
        <v>0.22692841216000001</v>
      </c>
      <c r="G44" s="11">
        <f t="shared" si="4"/>
        <v>-0.23223577371428572</v>
      </c>
      <c r="H44" s="11">
        <f t="shared" si="5"/>
        <v>-5.3073615542857111E-3</v>
      </c>
    </row>
    <row r="45" spans="2:9" x14ac:dyDescent="0.25">
      <c r="F45" s="14"/>
      <c r="G45" s="14"/>
      <c r="H45" s="14"/>
    </row>
    <row r="46" spans="2:9" x14ac:dyDescent="0.25">
      <c r="C46" s="6"/>
      <c r="G46" s="6" t="s">
        <v>8</v>
      </c>
      <c r="H46" s="16">
        <f>AVERAGE(H39:H44)</f>
        <v>2.1087945447619042E-3</v>
      </c>
    </row>
    <row r="47" spans="2:9" x14ac:dyDescent="0.25">
      <c r="C47" s="6"/>
      <c r="G47" s="6"/>
      <c r="H47" s="9"/>
    </row>
    <row r="48" spans="2:9" x14ac:dyDescent="0.25">
      <c r="C48" s="6"/>
      <c r="G48" s="6" t="s">
        <v>9</v>
      </c>
      <c r="H48" s="17">
        <f>_xlfn.STDEV.S(H39:H44)</f>
        <v>1.3983854401342536E-2</v>
      </c>
    </row>
    <row r="49" spans="2:9" x14ac:dyDescent="0.25">
      <c r="G49" s="6"/>
    </row>
    <row r="50" spans="2:9" x14ac:dyDescent="0.25">
      <c r="G50" s="6" t="s">
        <v>10</v>
      </c>
      <c r="H50" s="17">
        <f>H48/SQRT(6)</f>
        <v>5.7088846534436577E-3</v>
      </c>
    </row>
    <row r="54" spans="2:9" x14ac:dyDescent="0.25">
      <c r="B54" s="7" t="s">
        <v>12</v>
      </c>
    </row>
    <row r="55" spans="2:9" ht="17.25" customHeight="1" x14ac:dyDescent="0.25">
      <c r="B55" s="2"/>
    </row>
    <row r="56" spans="2:9" ht="17.25" customHeight="1" x14ac:dyDescent="0.25">
      <c r="C56" s="6" t="s">
        <v>4</v>
      </c>
      <c r="D56" s="5">
        <f>D12+0.495 + 0.496</f>
        <v>1.488</v>
      </c>
      <c r="E56" s="1" t="s">
        <v>15</v>
      </c>
      <c r="G56" s="6" t="s">
        <v>5</v>
      </c>
      <c r="H56" s="5">
        <v>1.4</v>
      </c>
      <c r="I56" s="1" t="s">
        <v>16</v>
      </c>
    </row>
    <row r="57" spans="2:9" ht="17.25" customHeight="1" x14ac:dyDescent="0.25"/>
    <row r="58" spans="2:9" ht="17.25" customHeight="1" x14ac:dyDescent="0.25">
      <c r="C58" s="6" t="s">
        <v>6</v>
      </c>
      <c r="D58" s="5">
        <v>0.05</v>
      </c>
      <c r="E58" s="1" t="s">
        <v>16</v>
      </c>
      <c r="G58" s="6" t="s">
        <v>7</v>
      </c>
      <c r="H58" s="5">
        <v>0.44590000000000002</v>
      </c>
      <c r="I58" s="1" t="s">
        <v>16</v>
      </c>
    </row>
    <row r="59" spans="2:9" x14ac:dyDescent="0.25">
      <c r="C59" s="2"/>
    </row>
    <row r="60" spans="2:9" x14ac:dyDescent="0.25">
      <c r="C60" s="8" t="s">
        <v>17</v>
      </c>
      <c r="D60" s="8" t="s">
        <v>18</v>
      </c>
      <c r="E60" s="8" t="s">
        <v>19</v>
      </c>
      <c r="F60" s="8" t="s">
        <v>20</v>
      </c>
      <c r="G60" s="8" t="s">
        <v>21</v>
      </c>
      <c r="H60" s="8" t="s">
        <v>22</v>
      </c>
    </row>
    <row r="61" spans="2:9" x14ac:dyDescent="0.25">
      <c r="C61" s="10">
        <v>0.5</v>
      </c>
      <c r="D61" s="11">
        <v>0.93030000000000002</v>
      </c>
      <c r="E61" s="11">
        <v>-0.64</v>
      </c>
      <c r="F61" s="11">
        <f>0.5*0.992*E61*E61</f>
        <v>0.2031616</v>
      </c>
      <c r="G61" s="11">
        <f>0.992*9.81*(0.4459-D61)*(0.05/1.4)</f>
        <v>-0.16835529600000002</v>
      </c>
      <c r="H61" s="12">
        <f>F61+G61</f>
        <v>3.4806303999999982E-2</v>
      </c>
    </row>
    <row r="62" spans="2:9" x14ac:dyDescent="0.25">
      <c r="C62" s="10">
        <v>1</v>
      </c>
      <c r="D62" s="15">
        <v>0.66679999999999995</v>
      </c>
      <c r="E62" s="15">
        <v>-0.42659999999999998</v>
      </c>
      <c r="F62" s="11">
        <f t="shared" ref="F62:F66" si="6">0.5*0.992*E62*E62</f>
        <v>9.0265829759999999E-2</v>
      </c>
      <c r="G62" s="11">
        <f t="shared" ref="G62:G66" si="7">0.992*9.81*(0.4459-D62)*(0.05/1.4)</f>
        <v>-7.6774741714285694E-2</v>
      </c>
      <c r="H62" s="12">
        <f t="shared" ref="H62:H66" si="8">F62+G62</f>
        <v>1.3491088045714306E-2</v>
      </c>
    </row>
    <row r="63" spans="2:9" x14ac:dyDescent="0.25">
      <c r="C63" s="10">
        <v>1.5</v>
      </c>
      <c r="D63" s="11">
        <v>0.50549999999999995</v>
      </c>
      <c r="E63" s="11">
        <v>-0.21920000000000001</v>
      </c>
      <c r="F63" s="11">
        <f t="shared" si="6"/>
        <v>2.3832125440000001E-2</v>
      </c>
      <c r="G63" s="11">
        <f t="shared" si="7"/>
        <v>-2.0714235428571405E-2</v>
      </c>
      <c r="H63" s="12">
        <f t="shared" si="8"/>
        <v>3.1178900114285958E-3</v>
      </c>
    </row>
    <row r="64" spans="2:9" x14ac:dyDescent="0.25">
      <c r="C64" s="10">
        <v>2</v>
      </c>
      <c r="D64" s="11">
        <v>0.44590000000000002</v>
      </c>
      <c r="E64" s="11">
        <v>1E-3</v>
      </c>
      <c r="F64" s="11">
        <f t="shared" si="6"/>
        <v>4.9599999999999999E-7</v>
      </c>
      <c r="G64" s="11">
        <f t="shared" si="7"/>
        <v>0</v>
      </c>
      <c r="H64" s="12">
        <f t="shared" si="8"/>
        <v>4.9599999999999999E-7</v>
      </c>
    </row>
    <row r="65" spans="3:8" x14ac:dyDescent="0.25">
      <c r="C65" s="10">
        <v>2.5</v>
      </c>
      <c r="D65" s="11">
        <v>0.48980000000000001</v>
      </c>
      <c r="E65" s="11">
        <v>0.17399999999999999</v>
      </c>
      <c r="F65" s="11">
        <f t="shared" si="6"/>
        <v>1.5016895999999998E-2</v>
      </c>
      <c r="G65" s="11">
        <f t="shared" si="7"/>
        <v>-1.5257633142857144E-2</v>
      </c>
      <c r="H65" s="12">
        <f t="shared" si="8"/>
        <v>-2.407371428571458E-4</v>
      </c>
    </row>
    <row r="66" spans="3:8" x14ac:dyDescent="0.25">
      <c r="C66" s="10">
        <v>3</v>
      </c>
      <c r="D66" s="11">
        <v>0.61860000000000004</v>
      </c>
      <c r="E66" s="11">
        <v>0.35089999999999999</v>
      </c>
      <c r="F66" s="11">
        <f t="shared" si="6"/>
        <v>6.1072881759999996E-2</v>
      </c>
      <c r="G66" s="11">
        <f t="shared" si="7"/>
        <v>-6.002262514285716E-2</v>
      </c>
      <c r="H66" s="12">
        <f t="shared" si="8"/>
        <v>1.0502566171428362E-3</v>
      </c>
    </row>
    <row r="67" spans="3:8" x14ac:dyDescent="0.25">
      <c r="H67" s="13"/>
    </row>
    <row r="68" spans="3:8" x14ac:dyDescent="0.25">
      <c r="C68" s="6"/>
      <c r="G68" s="6" t="s">
        <v>8</v>
      </c>
      <c r="H68" s="17">
        <f>AVERAGE(H61:H66)</f>
        <v>8.7042162552380953E-3</v>
      </c>
    </row>
    <row r="69" spans="3:8" x14ac:dyDescent="0.25">
      <c r="C69" s="6"/>
      <c r="G69" s="6"/>
      <c r="H69" s="18"/>
    </row>
    <row r="70" spans="3:8" x14ac:dyDescent="0.25">
      <c r="C70" s="6"/>
      <c r="G70" s="6" t="s">
        <v>9</v>
      </c>
      <c r="H70" s="17">
        <f>_xlfn.STDEV.S(H61:H66)</f>
        <v>1.3782526639140657E-2</v>
      </c>
    </row>
    <row r="71" spans="3:8" x14ac:dyDescent="0.25">
      <c r="G71" s="6"/>
      <c r="H71" s="13"/>
    </row>
    <row r="72" spans="3:8" x14ac:dyDescent="0.25">
      <c r="G72" s="6" t="s">
        <v>10</v>
      </c>
      <c r="H72" s="17">
        <f>H70/SQRT(6)</f>
        <v>5.6266929387018254E-3</v>
      </c>
    </row>
  </sheetData>
  <mergeCells count="3">
    <mergeCell ref="B2:E2"/>
    <mergeCell ref="C4:E4"/>
    <mergeCell ref="C6:E6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4425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19</cp:revision>
  <cp:lastPrinted>2023-03-17T03:07:33Z</cp:lastPrinted>
  <dcterms:created xsi:type="dcterms:W3CDTF">2017-08-29T14:16:48Z</dcterms:created>
  <dcterms:modified xsi:type="dcterms:W3CDTF">2023-03-17T03:07:40Z</dcterms:modified>
  <dc:language>en-US</dc:language>
</cp:coreProperties>
</file>