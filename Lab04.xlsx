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13_ncr:1_{3936C99F-0966-45E7-AB06-8366FE06306A}" xr6:coauthVersionLast="47" xr6:coauthVersionMax="47" xr10:uidLastSave="{00000000-0000-0000-0000-000000000000}"/>
  <bookViews>
    <workbookView xWindow="-108" yWindow="-108" windowWidth="23256" windowHeight="1245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G42" i="1"/>
  <c r="G43" i="1"/>
  <c r="G44" i="1"/>
  <c r="G45" i="1"/>
  <c r="G46" i="1"/>
  <c r="G47" i="1"/>
  <c r="G48" i="1"/>
  <c r="F42" i="1"/>
  <c r="F43" i="1"/>
  <c r="F44" i="1"/>
  <c r="F45" i="1"/>
  <c r="F46" i="1"/>
  <c r="F47" i="1"/>
  <c r="F48" i="1"/>
  <c r="F41" i="1"/>
  <c r="G41" i="1"/>
  <c r="F25" i="1"/>
  <c r="G25" i="1"/>
  <c r="F19" i="1"/>
  <c r="G19" i="1"/>
  <c r="G20" i="1"/>
  <c r="G21" i="1"/>
  <c r="G22" i="1"/>
  <c r="G23" i="1"/>
  <c r="G24" i="1"/>
  <c r="F20" i="1"/>
  <c r="F21" i="1"/>
  <c r="F22" i="1"/>
  <c r="F23" i="1"/>
  <c r="F24" i="1"/>
  <c r="G18" i="1"/>
  <c r="D50" i="1" l="1"/>
  <c r="F52" i="1"/>
  <c r="D52" i="1"/>
  <c r="F50" i="1"/>
  <c r="D27" i="1"/>
  <c r="D29" i="1"/>
  <c r="F29" i="1"/>
  <c r="F27" i="1"/>
</calcChain>
</file>

<file path=xl/sharedStrings.xml><?xml version="1.0" encoding="utf-8"?>
<sst xmlns="http://schemas.openxmlformats.org/spreadsheetml/2006/main" count="39" uniqueCount="21">
  <si>
    <t>Lab 04 – Newton's First Law</t>
  </si>
  <si>
    <t>Your Name:</t>
  </si>
  <si>
    <t>Partner(s):</t>
  </si>
  <si>
    <t>Experiment 1 – Equal Masses</t>
  </si>
  <si>
    <t>Position of</t>
  </si>
  <si>
    <t>Force Sensor</t>
  </si>
  <si>
    <t>Total Force</t>
  </si>
  <si>
    <t>Direction (°)</t>
  </si>
  <si>
    <t>±</t>
  </si>
  <si>
    <t>Experiment 2 – Unequal Masses</t>
  </si>
  <si>
    <t>Devin Fromond</t>
  </si>
  <si>
    <t>Evan Romero, Carlos Hernendez</t>
  </si>
  <si>
    <t>Magnitude (N)</t>
  </si>
  <si>
    <r>
      <t>Mass</t>
    </r>
    <r>
      <rPr>
        <i/>
        <sz val="12"/>
        <rFont val="Century"/>
        <family val="1"/>
      </rPr>
      <t>A</t>
    </r>
    <r>
      <rPr>
        <sz val="12"/>
        <rFont val="Century"/>
        <family val="1"/>
      </rPr>
      <t>(at 0°):</t>
    </r>
  </si>
  <si>
    <r>
      <t>Mass</t>
    </r>
    <r>
      <rPr>
        <i/>
        <sz val="12"/>
        <rFont val="Century"/>
        <family val="1"/>
      </rPr>
      <t>B</t>
    </r>
    <r>
      <rPr>
        <sz val="12"/>
        <rFont val="Century"/>
        <family val="1"/>
      </rPr>
      <t>:</t>
    </r>
  </si>
  <si>
    <r>
      <t>Mass</t>
    </r>
    <r>
      <rPr>
        <i/>
        <sz val="12"/>
        <rFont val="Century"/>
        <family val="1"/>
      </rPr>
      <t>B</t>
    </r>
    <r>
      <rPr>
        <sz val="12"/>
        <rFont val="Century"/>
        <family val="1"/>
      </rPr>
      <t>(°)</t>
    </r>
  </si>
  <si>
    <r>
      <t>x</t>
    </r>
    <r>
      <rPr>
        <sz val="12"/>
        <rFont val="Century"/>
        <family val="1"/>
      </rPr>
      <t>component (N)</t>
    </r>
  </si>
  <si>
    <r>
      <t>y</t>
    </r>
    <r>
      <rPr>
        <sz val="12"/>
        <rFont val="Century"/>
        <family val="1"/>
      </rPr>
      <t>component (N)</t>
    </r>
  </si>
  <si>
    <t>kg</t>
  </si>
  <si>
    <r>
      <t>Average</t>
    </r>
    <r>
      <rPr>
        <i/>
        <sz val="12"/>
        <rFont val="Century"/>
        <family val="1"/>
      </rPr>
      <t>x</t>
    </r>
    <r>
      <rPr>
        <sz val="12"/>
        <rFont val="Century"/>
        <family val="1"/>
      </rPr>
      <t>component of total force (N):</t>
    </r>
  </si>
  <si>
    <r>
      <t>Average</t>
    </r>
    <r>
      <rPr>
        <i/>
        <sz val="12"/>
        <rFont val="Century"/>
        <family val="1"/>
      </rPr>
      <t>y</t>
    </r>
    <r>
      <rPr>
        <sz val="12"/>
        <rFont val="Century"/>
        <family val="1"/>
      </rPr>
      <t>component of total force (N):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</si>
</sst>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name val="Arial"/>
      <family val="2"/>
      <charset val="1"/>
    </font>
    <font>
      <sz val="10"/>
      <name val="Century"/>
      <family val="1"/>
    </font>
    <font>
      <b/>
      <sz val="14"/>
      <name val="Century"/>
      <family val="1"/>
    </font>
    <font>
      <sz val="12"/>
      <name val="Century"/>
      <family val="1"/>
    </font>
    <font>
      <b/>
      <sz val="12"/>
      <name val="Century"/>
      <family val="1"/>
    </font>
    <font>
      <i/>
      <sz val="12"/>
      <name val="Century"/>
      <family val="1"/>
    </font>
    <font>
      <sz val="14"/>
      <name val="Century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2"/>
  <sheetViews>
    <sheetView tabSelected="1" topLeftCell="A28" zoomScale="63" zoomScaleNormal="100" workbookViewId="0">
      <selection activeCell="K37" sqref="K37"/>
    </sheetView>
  </sheetViews>
  <sheetFormatPr defaultRowHeight="15" x14ac:dyDescent="0.25"/>
  <cols>
    <col min="1" max="7" width="19.44140625" style="3"/>
    <col min="8" max="1025" width="11.5546875" style="3"/>
    <col min="1026" max="16384" width="8.88671875" style="1"/>
  </cols>
  <sheetData>
    <row r="1" spans="1:7" ht="18" customHeight="1" x14ac:dyDescent="0.25">
      <c r="A1" s="1"/>
      <c r="B1" s="2"/>
      <c r="C1" s="1"/>
      <c r="D1" s="1"/>
      <c r="E1" s="1"/>
      <c r="F1" s="1"/>
      <c r="G1" s="1"/>
    </row>
    <row r="2" spans="1:7" ht="18" customHeight="1" x14ac:dyDescent="0.25">
      <c r="A2" s="1"/>
      <c r="B2" s="21" t="s">
        <v>0</v>
      </c>
      <c r="C2" s="21"/>
      <c r="D2" s="21"/>
      <c r="E2" s="21"/>
      <c r="F2" s="1"/>
      <c r="G2" s="1"/>
    </row>
    <row r="3" spans="1:7" ht="18" customHeight="1" x14ac:dyDescent="0.25">
      <c r="A3" s="1"/>
      <c r="B3" s="4"/>
      <c r="C3" s="1"/>
      <c r="D3" s="1"/>
      <c r="E3" s="1"/>
      <c r="F3" s="1"/>
      <c r="G3" s="1"/>
    </row>
    <row r="4" spans="1:7" ht="18" customHeight="1" x14ac:dyDescent="0.25">
      <c r="A4" s="1"/>
      <c r="B4" s="4" t="s">
        <v>1</v>
      </c>
      <c r="C4" s="22" t="s">
        <v>10</v>
      </c>
      <c r="D4" s="22"/>
      <c r="E4" s="22"/>
      <c r="F4" s="1"/>
      <c r="G4" s="1"/>
    </row>
    <row r="5" spans="1:7" ht="18" customHeight="1" x14ac:dyDescent="0.25">
      <c r="A5" s="1"/>
      <c r="B5" s="4"/>
      <c r="C5" s="1"/>
      <c r="D5" s="1"/>
      <c r="E5" s="1"/>
      <c r="F5" s="1"/>
      <c r="G5" s="1"/>
    </row>
    <row r="6" spans="1:7" ht="18" customHeight="1" x14ac:dyDescent="0.25">
      <c r="A6" s="1"/>
      <c r="B6" s="4" t="s">
        <v>2</v>
      </c>
      <c r="C6" s="22" t="s">
        <v>11</v>
      </c>
      <c r="D6" s="22"/>
      <c r="E6" s="22"/>
      <c r="F6" s="1"/>
      <c r="G6" s="1"/>
    </row>
    <row r="7" spans="1:7" ht="18" customHeight="1" x14ac:dyDescent="0.25">
      <c r="A7" s="1"/>
      <c r="B7" s="1"/>
      <c r="C7" s="6"/>
      <c r="D7" s="1"/>
      <c r="E7" s="1"/>
      <c r="F7" s="1"/>
      <c r="G7" s="1"/>
    </row>
    <row r="8" spans="1:7" ht="18" customHeight="1" x14ac:dyDescent="0.25">
      <c r="A8" s="1"/>
      <c r="B8" s="1"/>
      <c r="C8" s="1"/>
      <c r="D8" s="1"/>
      <c r="E8" s="1"/>
      <c r="F8" s="1"/>
      <c r="G8" s="1"/>
    </row>
    <row r="9" spans="1:7" ht="18" customHeight="1" x14ac:dyDescent="0.25">
      <c r="A9" s="1"/>
      <c r="B9" s="1"/>
      <c r="C9" s="1"/>
      <c r="D9" s="1"/>
      <c r="E9" s="1"/>
      <c r="F9" s="1"/>
      <c r="G9" s="1"/>
    </row>
    <row r="10" spans="1:7" ht="18" customHeight="1" x14ac:dyDescent="0.25">
      <c r="A10" s="1"/>
      <c r="B10" s="7" t="s">
        <v>3</v>
      </c>
      <c r="C10" s="1"/>
      <c r="D10" s="1"/>
      <c r="E10" s="1"/>
      <c r="F10" s="1"/>
      <c r="G10" s="1"/>
    </row>
    <row r="11" spans="1:7" ht="18" customHeight="1" x14ac:dyDescent="0.25">
      <c r="A11" s="1"/>
      <c r="B11" s="8"/>
      <c r="C11" s="1"/>
      <c r="D11" s="1"/>
      <c r="E11" s="1"/>
      <c r="F11" s="1"/>
      <c r="G11" s="1"/>
    </row>
    <row r="12" spans="1:7" ht="18" customHeight="1" x14ac:dyDescent="0.25">
      <c r="A12" s="1"/>
      <c r="B12" s="1"/>
      <c r="C12" s="6" t="s">
        <v>13</v>
      </c>
      <c r="D12" s="5">
        <v>0.105</v>
      </c>
      <c r="E12" s="1" t="s">
        <v>18</v>
      </c>
      <c r="F12" s="1"/>
      <c r="G12" s="1"/>
    </row>
    <row r="13" spans="1:7" ht="18" customHeight="1" x14ac:dyDescent="0.25">
      <c r="A13" s="1"/>
      <c r="B13" s="1"/>
      <c r="C13" s="1"/>
      <c r="D13" s="1"/>
      <c r="E13" s="1"/>
      <c r="F13" s="1"/>
      <c r="G13" s="1"/>
    </row>
    <row r="14" spans="1:7" ht="18" customHeight="1" x14ac:dyDescent="0.25">
      <c r="A14" s="1"/>
      <c r="B14" s="1"/>
      <c r="C14" s="6" t="s">
        <v>14</v>
      </c>
      <c r="D14" s="5">
        <v>0.105</v>
      </c>
      <c r="E14" s="1" t="s">
        <v>18</v>
      </c>
      <c r="F14" s="1"/>
      <c r="G14" s="1"/>
    </row>
    <row r="15" spans="1:7" ht="18" customHeight="1" x14ac:dyDescent="0.25">
      <c r="A15" s="1"/>
      <c r="B15" s="1"/>
      <c r="C15" s="8"/>
      <c r="D15" s="1"/>
      <c r="E15" s="1"/>
      <c r="F15" s="1"/>
      <c r="G15" s="1"/>
    </row>
    <row r="16" spans="1:7" ht="18" customHeight="1" x14ac:dyDescent="0.25">
      <c r="A16" s="1"/>
      <c r="B16" s="1"/>
      <c r="C16" s="10" t="s">
        <v>4</v>
      </c>
      <c r="D16" s="20" t="s">
        <v>5</v>
      </c>
      <c r="E16" s="20"/>
      <c r="F16" s="20" t="s">
        <v>6</v>
      </c>
      <c r="G16" s="20"/>
    </row>
    <row r="17" spans="1:7" ht="18" customHeight="1" x14ac:dyDescent="0.25">
      <c r="A17" s="1"/>
      <c r="B17" s="1"/>
      <c r="C17" s="12" t="s">
        <v>15</v>
      </c>
      <c r="D17" s="13" t="s">
        <v>12</v>
      </c>
      <c r="E17" s="13" t="s">
        <v>7</v>
      </c>
      <c r="F17" s="14" t="s">
        <v>16</v>
      </c>
      <c r="G17" s="14" t="s">
        <v>17</v>
      </c>
    </row>
    <row r="18" spans="1:7" ht="18" customHeight="1" x14ac:dyDescent="0.25">
      <c r="A18" s="1"/>
      <c r="B18" s="1"/>
      <c r="C18" s="13">
        <v>20</v>
      </c>
      <c r="D18" s="15">
        <v>1.97</v>
      </c>
      <c r="E18" s="13">
        <v>190</v>
      </c>
      <c r="F18" s="15">
        <f>0.105*9.81*COS(RADIANS(0))+0.105*9.81*COS(RADIANS(C18)) + D18*COS(RADIANS(E18))</f>
        <v>5.7909110606475078E-2</v>
      </c>
      <c r="G18" s="15">
        <f>0.105*9.81*SIN(RADIANS(0))+0.105*9.81*SIN(RADIANS(C18)) + D18*SIN(RADIANS(E18))</f>
        <v>1.0210938628752053E-2</v>
      </c>
    </row>
    <row r="19" spans="1:7" ht="18" customHeight="1" x14ac:dyDescent="0.25">
      <c r="A19" s="1"/>
      <c r="B19" s="1"/>
      <c r="C19" s="13">
        <v>40</v>
      </c>
      <c r="D19" s="16">
        <v>1.88</v>
      </c>
      <c r="E19" s="11">
        <v>200</v>
      </c>
      <c r="F19" s="15">
        <f t="shared" ref="F19:F24" si="0">0.105*9.81*COS(RADIANS(0))+0.105*9.81*COS(RADIANS(C19)) + D19*COS(RADIANS(E19))</f>
        <v>5.2491951557195327E-2</v>
      </c>
      <c r="G19" s="15">
        <f t="shared" ref="G19:G24" si="1">0.105*9.81*SIN(RADIANS(0))+0.105*9.81*SIN(RADIANS(C19)) + D19*SIN(RADIANS(E19))</f>
        <v>1.9105507905362695E-2</v>
      </c>
    </row>
    <row r="20" spans="1:7" ht="18" customHeight="1" x14ac:dyDescent="0.25">
      <c r="A20" s="1"/>
      <c r="B20" s="1"/>
      <c r="C20" s="13">
        <v>60</v>
      </c>
      <c r="D20" s="15">
        <v>1.71</v>
      </c>
      <c r="E20" s="13">
        <v>210</v>
      </c>
      <c r="F20" s="15">
        <f t="shared" si="0"/>
        <v>6.4171559528610089E-2</v>
      </c>
      <c r="G20" s="15">
        <f t="shared" si="1"/>
        <v>3.704946716816071E-2</v>
      </c>
    </row>
    <row r="21" spans="1:7" ht="18" customHeight="1" x14ac:dyDescent="0.25">
      <c r="A21" s="1"/>
      <c r="B21" s="1"/>
      <c r="C21" s="13">
        <v>80</v>
      </c>
      <c r="D21" s="15">
        <v>1.51</v>
      </c>
      <c r="E21" s="13">
        <v>220</v>
      </c>
      <c r="F21" s="15">
        <f t="shared" si="0"/>
        <v>5.2189196296164919E-2</v>
      </c>
      <c r="G21" s="15">
        <f t="shared" si="1"/>
        <v>4.3791935363550638E-2</v>
      </c>
    </row>
    <row r="22" spans="1:7" ht="18" customHeight="1" x14ac:dyDescent="0.25">
      <c r="A22" s="1"/>
      <c r="B22" s="1"/>
      <c r="C22" s="13">
        <v>100</v>
      </c>
      <c r="D22" s="15">
        <v>1.26</v>
      </c>
      <c r="E22" s="13">
        <v>230</v>
      </c>
      <c r="F22" s="15">
        <f t="shared" si="0"/>
        <v>4.1271306389138673E-2</v>
      </c>
      <c r="G22" s="15">
        <f t="shared" si="1"/>
        <v>4.9185227660312747E-2</v>
      </c>
    </row>
    <row r="23" spans="1:7" ht="18" customHeight="1" x14ac:dyDescent="0.25">
      <c r="A23" s="1"/>
      <c r="B23" s="1"/>
      <c r="C23" s="13">
        <v>120</v>
      </c>
      <c r="D23" s="15">
        <v>0.99</v>
      </c>
      <c r="E23" s="13">
        <v>240</v>
      </c>
      <c r="F23" s="15">
        <f t="shared" si="0"/>
        <v>2.0024999999999737E-2</v>
      </c>
      <c r="G23" s="15">
        <f t="shared" si="1"/>
        <v>3.4684317421567079E-2</v>
      </c>
    </row>
    <row r="24" spans="1:7" ht="18" customHeight="1" x14ac:dyDescent="0.25">
      <c r="A24" s="1"/>
      <c r="B24" s="1"/>
      <c r="C24" s="13">
        <v>140</v>
      </c>
      <c r="D24" s="15">
        <v>0.64</v>
      </c>
      <c r="E24" s="13">
        <v>250</v>
      </c>
      <c r="F24" s="15">
        <f t="shared" si="0"/>
        <v>2.209302963686896E-2</v>
      </c>
      <c r="G24" s="15">
        <f t="shared" si="1"/>
        <v>6.0700100054638551E-2</v>
      </c>
    </row>
    <row r="25" spans="1:7" ht="18" customHeight="1" x14ac:dyDescent="0.25">
      <c r="A25" s="1"/>
      <c r="B25" s="1"/>
      <c r="C25" s="13">
        <v>160</v>
      </c>
      <c r="D25" s="15">
        <v>0.3</v>
      </c>
      <c r="E25" s="13">
        <v>260</v>
      </c>
      <c r="F25" s="15">
        <f>0.105*9.81*COS(RADIANS(0))+0.105*9.81*COS(RADIANS(C25)) + D25*COS(RADIANS(E25))</f>
        <v>1.0025162659396028E-2</v>
      </c>
      <c r="G25" s="15">
        <f>0.105*9.81*SIN(RADIANS(0))+0.105*9.81*SIN(RADIANS(C25)) + D25*SIN(RADIANS(E25))</f>
        <v>5.6855522728942842E-2</v>
      </c>
    </row>
    <row r="26" spans="1:7" ht="18" customHeight="1" x14ac:dyDescent="0.25">
      <c r="A26" s="1"/>
      <c r="B26" s="1"/>
      <c r="C26" s="1"/>
      <c r="D26" s="1"/>
      <c r="E26" s="1"/>
      <c r="F26" s="1"/>
      <c r="G26" s="1"/>
    </row>
    <row r="27" spans="1:7" ht="18" customHeight="1" thickBot="1" x14ac:dyDescent="0.35">
      <c r="A27" s="1"/>
      <c r="B27" s="1"/>
      <c r="C27" s="6" t="s">
        <v>19</v>
      </c>
      <c r="D27" s="18">
        <f>AVERAGE(F18:F25)</f>
        <v>4.0022039584231103E-2</v>
      </c>
      <c r="E27" s="17" t="s">
        <v>8</v>
      </c>
      <c r="F27" s="19">
        <f>_xlfn.STDEV.S(F18:F25)/SQRT(8)</f>
        <v>7.108080553879288E-3</v>
      </c>
      <c r="G27" s="1"/>
    </row>
    <row r="28" spans="1:7" ht="18" customHeight="1" thickBot="1" x14ac:dyDescent="0.3">
      <c r="A28" s="1"/>
      <c r="B28" s="1"/>
      <c r="C28" s="6"/>
      <c r="D28" s="9"/>
      <c r="E28" s="1"/>
      <c r="F28" s="1"/>
      <c r="G28" s="1"/>
    </row>
    <row r="29" spans="1:7" ht="18" customHeight="1" thickBot="1" x14ac:dyDescent="0.35">
      <c r="A29" s="1"/>
      <c r="B29" s="1"/>
      <c r="C29" s="6" t="s">
        <v>20</v>
      </c>
      <c r="D29" s="18">
        <f>AVERAGE(G18:G25)</f>
        <v>3.8947877116410914E-2</v>
      </c>
      <c r="E29" s="17" t="s">
        <v>8</v>
      </c>
      <c r="F29" s="19">
        <f>_xlfn.STDEV.S(G18:G25)/SQRT(8)</f>
        <v>6.2155110865492842E-3</v>
      </c>
      <c r="G29" s="1"/>
    </row>
    <row r="30" spans="1:7" ht="18" customHeight="1" x14ac:dyDescent="0.25">
      <c r="A30" s="1"/>
      <c r="B30" s="1"/>
      <c r="C30" s="1"/>
      <c r="D30" s="1"/>
      <c r="E30" s="1"/>
      <c r="F30" s="1"/>
      <c r="G30" s="1"/>
    </row>
    <row r="31" spans="1:7" ht="18" customHeight="1" x14ac:dyDescent="0.25">
      <c r="A31" s="1"/>
      <c r="B31" s="1"/>
      <c r="C31" s="1"/>
      <c r="D31" s="1"/>
      <c r="E31" s="1"/>
      <c r="F31" s="1"/>
      <c r="G31" s="1"/>
    </row>
    <row r="32" spans="1:7" ht="18" customHeight="1" x14ac:dyDescent="0.25">
      <c r="A32" s="1"/>
      <c r="B32" s="1"/>
      <c r="C32" s="1"/>
      <c r="D32" s="1"/>
      <c r="E32" s="1"/>
      <c r="F32" s="1"/>
      <c r="G32" s="1"/>
    </row>
    <row r="33" spans="1:7" ht="18" customHeight="1" x14ac:dyDescent="0.25">
      <c r="A33" s="1"/>
      <c r="B33" s="7" t="s">
        <v>9</v>
      </c>
      <c r="C33" s="1"/>
      <c r="D33" s="1"/>
      <c r="E33" s="1"/>
      <c r="F33" s="1"/>
      <c r="G33" s="1"/>
    </row>
    <row r="34" spans="1:7" ht="18" customHeight="1" x14ac:dyDescent="0.25">
      <c r="A34" s="1"/>
      <c r="B34" s="8"/>
      <c r="C34" s="1"/>
      <c r="D34" s="1"/>
      <c r="E34" s="1"/>
      <c r="F34" s="1"/>
      <c r="G34" s="1"/>
    </row>
    <row r="35" spans="1:7" ht="18" customHeight="1" x14ac:dyDescent="0.25">
      <c r="A35" s="1"/>
      <c r="C35" s="6" t="s">
        <v>13</v>
      </c>
      <c r="D35" s="5">
        <v>0.155</v>
      </c>
      <c r="E35" s="1" t="s">
        <v>18</v>
      </c>
      <c r="F35" s="1"/>
      <c r="G35" s="1"/>
    </row>
    <row r="36" spans="1:7" ht="18" customHeight="1" x14ac:dyDescent="0.25">
      <c r="A36" s="1"/>
      <c r="C36" s="1"/>
      <c r="D36" s="1"/>
      <c r="E36" s="1"/>
      <c r="F36" s="1"/>
      <c r="G36" s="1"/>
    </row>
    <row r="37" spans="1:7" ht="18" customHeight="1" x14ac:dyDescent="0.25">
      <c r="A37" s="1"/>
      <c r="C37" s="6" t="s">
        <v>14</v>
      </c>
      <c r="D37" s="5">
        <v>5.5E-2</v>
      </c>
      <c r="E37" s="9" t="s">
        <v>18</v>
      </c>
      <c r="F37" s="1"/>
      <c r="G37" s="1"/>
    </row>
    <row r="38" spans="1:7" ht="18" customHeight="1" x14ac:dyDescent="0.25">
      <c r="A38" s="1"/>
      <c r="C38" s="8"/>
      <c r="D38" s="1"/>
      <c r="E38" s="1"/>
      <c r="F38" s="1"/>
      <c r="G38" s="1"/>
    </row>
    <row r="39" spans="1:7" ht="18" customHeight="1" x14ac:dyDescent="0.25">
      <c r="A39" s="1"/>
      <c r="C39" s="10" t="s">
        <v>4</v>
      </c>
      <c r="D39" s="20" t="s">
        <v>5</v>
      </c>
      <c r="E39" s="20"/>
      <c r="F39" s="20" t="s">
        <v>6</v>
      </c>
      <c r="G39" s="20"/>
    </row>
    <row r="40" spans="1:7" ht="18" customHeight="1" thickBot="1" x14ac:dyDescent="0.3">
      <c r="A40" s="1"/>
      <c r="C40" s="12" t="s">
        <v>15</v>
      </c>
      <c r="D40" s="13" t="s">
        <v>12</v>
      </c>
      <c r="E40" s="13" t="s">
        <v>7</v>
      </c>
      <c r="F40" s="14" t="s">
        <v>16</v>
      </c>
      <c r="G40" s="14" t="s">
        <v>17</v>
      </c>
    </row>
    <row r="41" spans="1:7" ht="18" customHeight="1" thickBot="1" x14ac:dyDescent="0.3">
      <c r="A41" s="1"/>
      <c r="C41" s="13">
        <v>20</v>
      </c>
      <c r="D41" s="15">
        <v>1.96</v>
      </c>
      <c r="E41" s="13">
        <v>185</v>
      </c>
      <c r="F41" s="15">
        <f>0.155*9.81*COS(RADIANS(0))+0.055*9.81*COS(RADIANS(C41)) + D41*COS(RADIANS(E41))</f>
        <v>7.5019545285215816E-2</v>
      </c>
      <c r="G41" s="15">
        <f>0.155*9.81*SIN(RADIANS(0))+0.055*9.81*SIN(RADIANS(C41)) + D41*SIN(RADIANS(E41))</f>
        <v>1.371171254595499E-2</v>
      </c>
    </row>
    <row r="42" spans="1:7" ht="18" customHeight="1" thickBot="1" x14ac:dyDescent="0.3">
      <c r="A42" s="1"/>
      <c r="C42" s="13">
        <v>40</v>
      </c>
      <c r="D42" s="16">
        <v>1.89</v>
      </c>
      <c r="E42" s="11">
        <v>190</v>
      </c>
      <c r="F42" s="15">
        <f t="shared" ref="F42:F48" si="2">0.155*9.81*COS(RADIANS(0))+0.055*9.81*COS(RADIANS(C42)) + D42*COS(RADIANS(E42))</f>
        <v>7.2582626091771685E-2</v>
      </c>
      <c r="G42" s="15">
        <f t="shared" ref="G42:G48" si="3">0.155*9.81*SIN(RADIANS(0))+0.055*9.81*SIN(RADIANS(C42)) + D42*SIN(RADIANS(E42))</f>
        <v>1.8620999015873718E-2</v>
      </c>
    </row>
    <row r="43" spans="1:7" ht="18" customHeight="1" x14ac:dyDescent="0.25">
      <c r="A43" s="1"/>
      <c r="C43" s="13">
        <v>60</v>
      </c>
      <c r="D43" s="15">
        <v>1.77</v>
      </c>
      <c r="E43" s="13">
        <v>195</v>
      </c>
      <c r="F43" s="15">
        <f t="shared" si="2"/>
        <v>8.0636287468349277E-2</v>
      </c>
      <c r="G43" s="15">
        <f t="shared" si="3"/>
        <v>9.154296780432114E-3</v>
      </c>
    </row>
    <row r="44" spans="1:7" ht="18" customHeight="1" x14ac:dyDescent="0.25">
      <c r="A44" s="1"/>
      <c r="C44" s="13">
        <v>80</v>
      </c>
      <c r="D44" s="15">
        <v>1.61</v>
      </c>
      <c r="E44" s="13">
        <v>198</v>
      </c>
      <c r="F44" s="15">
        <f t="shared" si="2"/>
        <v>8.3040883024995127E-2</v>
      </c>
      <c r="G44" s="15">
        <f t="shared" si="3"/>
        <v>3.3835662194071747E-2</v>
      </c>
    </row>
    <row r="45" spans="1:7" ht="18" customHeight="1" x14ac:dyDescent="0.25">
      <c r="A45" s="1"/>
      <c r="C45" s="13">
        <v>100</v>
      </c>
      <c r="D45" s="15">
        <v>1.43</v>
      </c>
      <c r="E45" s="13">
        <v>200</v>
      </c>
      <c r="F45" s="15">
        <f t="shared" si="2"/>
        <v>8.3097678015958909E-2</v>
      </c>
      <c r="G45" s="15">
        <f t="shared" si="3"/>
        <v>4.2264218182030744E-2</v>
      </c>
    </row>
    <row r="46" spans="1:7" ht="18" customHeight="1" x14ac:dyDescent="0.25">
      <c r="A46" s="1"/>
      <c r="C46" s="13">
        <v>120</v>
      </c>
      <c r="D46" s="15">
        <v>1.26</v>
      </c>
      <c r="E46" s="13">
        <v>202</v>
      </c>
      <c r="F46" s="15">
        <f t="shared" si="2"/>
        <v>8.2523343245848091E-2</v>
      </c>
      <c r="G46" s="15">
        <f t="shared" si="3"/>
        <v>-4.7403010921551747E-3</v>
      </c>
    </row>
    <row r="47" spans="1:7" ht="18" customHeight="1" x14ac:dyDescent="0.25">
      <c r="A47" s="1"/>
      <c r="C47" s="13">
        <v>140</v>
      </c>
      <c r="D47" s="15">
        <v>1.07</v>
      </c>
      <c r="E47" s="13">
        <v>198</v>
      </c>
      <c r="F47" s="15">
        <f t="shared" si="2"/>
        <v>8.9600248279340988E-2</v>
      </c>
      <c r="G47" s="15">
        <f t="shared" si="3"/>
        <v>1.6167870825178843E-2</v>
      </c>
    </row>
    <row r="48" spans="1:7" ht="18" customHeight="1" x14ac:dyDescent="0.25">
      <c r="A48" s="1"/>
      <c r="C48" s="13">
        <v>160</v>
      </c>
      <c r="D48" s="15">
        <v>0.94</v>
      </c>
      <c r="E48" s="13">
        <v>190</v>
      </c>
      <c r="F48" s="15">
        <f t="shared" si="2"/>
        <v>8.7819558623487559E-2</v>
      </c>
      <c r="G48" s="15">
        <f t="shared" si="3"/>
        <v>2.1307681324450045E-2</v>
      </c>
    </row>
    <row r="49" spans="1:7" ht="18" customHeight="1" x14ac:dyDescent="0.25">
      <c r="A49" s="1"/>
      <c r="C49" s="1"/>
      <c r="D49" s="1"/>
      <c r="E49" s="1"/>
      <c r="F49" s="1"/>
      <c r="G49" s="1"/>
    </row>
    <row r="50" spans="1:7" ht="18" customHeight="1" x14ac:dyDescent="0.3">
      <c r="A50" s="1"/>
      <c r="C50" s="6" t="s">
        <v>19</v>
      </c>
      <c r="D50" s="18">
        <f>AVERAGE(F41:F48)</f>
        <v>8.1790021254370932E-2</v>
      </c>
      <c r="E50" s="17" t="s">
        <v>8</v>
      </c>
      <c r="F50" s="19">
        <f>_xlfn.STDEV.S(F41:F48)/SQRT(8)</f>
        <v>2.0402815009026728E-3</v>
      </c>
      <c r="G50" s="1"/>
    </row>
    <row r="51" spans="1:7" ht="18" customHeight="1" x14ac:dyDescent="0.25">
      <c r="A51" s="1"/>
      <c r="C51" s="6"/>
      <c r="D51" s="9"/>
      <c r="E51" s="1"/>
      <c r="F51" s="9"/>
      <c r="G51" s="1"/>
    </row>
    <row r="52" spans="1:7" ht="18" customHeight="1" x14ac:dyDescent="0.3">
      <c r="A52" s="1"/>
      <c r="C52" s="6" t="s">
        <v>20</v>
      </c>
      <c r="D52" s="18">
        <f>AVERAGE(G41:G48)</f>
        <v>1.8790267471979628E-2</v>
      </c>
      <c r="E52" s="17" t="s">
        <v>8</v>
      </c>
      <c r="F52" s="19">
        <f>_xlfn.STDEV.S(G41:G48)/SQRT(8)</f>
        <v>5.1112001683730965E-3</v>
      </c>
      <c r="G52" s="1"/>
    </row>
  </sheetData>
  <mergeCells count="7">
    <mergeCell ref="D39:E39"/>
    <mergeCell ref="F39:G39"/>
    <mergeCell ref="B2:E2"/>
    <mergeCell ref="C4:E4"/>
    <mergeCell ref="C6:E6"/>
    <mergeCell ref="D16:E16"/>
    <mergeCell ref="F16:G16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20</cp:revision>
  <dcterms:created xsi:type="dcterms:W3CDTF">2017-08-29T14:16:48Z</dcterms:created>
  <dcterms:modified xsi:type="dcterms:W3CDTF">2023-02-17T03:35:28Z</dcterms:modified>
  <dc:language>en-US</dc:language>
</cp:coreProperties>
</file>