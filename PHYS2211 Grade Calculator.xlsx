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 Tech\PHYS 2211\"/>
    </mc:Choice>
  </mc:AlternateContent>
  <xr:revisionPtr revIDLastSave="0" documentId="13_ncr:1_{E5BC6DDE-1678-4C60-A45F-E6ADE37B5C1E}" xr6:coauthVersionLast="47" xr6:coauthVersionMax="47" xr10:uidLastSave="{00000000-0000-0000-0000-000000000000}"/>
  <bookViews>
    <workbookView xWindow="-108" yWindow="-108" windowWidth="23256" windowHeight="12456" xr2:uid="{46DDC007-E15F-4B80-B945-076A82560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F42" i="1" s="1"/>
  <c r="D40" i="1"/>
  <c r="F40" i="1" s="1"/>
  <c r="D38" i="1"/>
  <c r="F38" i="1" s="1"/>
  <c r="D25" i="1" l="1"/>
  <c r="F25" i="1" s="1"/>
  <c r="F36" i="1"/>
  <c r="E28" i="1"/>
  <c r="F28" i="1" s="1"/>
  <c r="E31" i="1"/>
  <c r="E30" i="1"/>
  <c r="E29" i="1"/>
  <c r="E27" i="1"/>
  <c r="F34" i="1"/>
  <c r="D13" i="1"/>
  <c r="F13" i="1"/>
  <c r="F32" i="1" l="1"/>
  <c r="F45" i="1" s="1"/>
</calcChain>
</file>

<file path=xl/sharedStrings.xml><?xml version="1.0" encoding="utf-8"?>
<sst xmlns="http://schemas.openxmlformats.org/spreadsheetml/2006/main" count="46" uniqueCount="42">
  <si>
    <t>Assignment(s)</t>
  </si>
  <si>
    <t>Score</t>
  </si>
  <si>
    <t>Average</t>
  </si>
  <si>
    <t>Percentage</t>
  </si>
  <si>
    <t>Total</t>
  </si>
  <si>
    <t>N/A</t>
  </si>
  <si>
    <t>Exam One</t>
  </si>
  <si>
    <t>Exam Two</t>
  </si>
  <si>
    <t>Exam Three</t>
  </si>
  <si>
    <t>Exam Four</t>
  </si>
  <si>
    <t>Final Grade</t>
  </si>
  <si>
    <t>Final Exam</t>
  </si>
  <si>
    <t>Bucket Points:</t>
  </si>
  <si>
    <t>Class Partcipation</t>
  </si>
  <si>
    <t>Daily Homework</t>
  </si>
  <si>
    <t>Weekly Homework</t>
  </si>
  <si>
    <t>Pre-Flight</t>
  </si>
  <si>
    <t>Public Lectures</t>
  </si>
  <si>
    <t>Problem Solving Studio</t>
  </si>
  <si>
    <t>Studio 01</t>
  </si>
  <si>
    <t>Studio 02</t>
  </si>
  <si>
    <t>Studio 03</t>
  </si>
  <si>
    <t>Studio 05</t>
  </si>
  <si>
    <t>Studio 04</t>
  </si>
  <si>
    <t>Studio 06</t>
  </si>
  <si>
    <t>Studio 07</t>
  </si>
  <si>
    <t>Studio 08</t>
  </si>
  <si>
    <t>Studio 09</t>
  </si>
  <si>
    <t>Studio 10</t>
  </si>
  <si>
    <t>Studio 11</t>
  </si>
  <si>
    <t>Lab</t>
  </si>
  <si>
    <t>Lab 01</t>
  </si>
  <si>
    <t>Lab02</t>
  </si>
  <si>
    <t>Lab 06</t>
  </si>
  <si>
    <t>Lab 04</t>
  </si>
  <si>
    <t>Lab 05</t>
  </si>
  <si>
    <t>Lab 07</t>
  </si>
  <si>
    <t>Lab 10</t>
  </si>
  <si>
    <t>Lab 13</t>
  </si>
  <si>
    <t>Lab 09</t>
  </si>
  <si>
    <t>Lab 12</t>
  </si>
  <si>
    <t>Lab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</si>
</sst>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DEE3-050F-4802-9913-38B63ED27100}">
  <dimension ref="A1:G46"/>
  <sheetViews>
    <sheetView tabSelected="1" topLeftCell="A19" zoomScale="105" zoomScaleNormal="85" workbookViewId="0">
      <selection activeCell="F28" sqref="F28"/>
    </sheetView>
  </sheetViews>
  <sheetFormatPr defaultRowHeight="14.4" x14ac:dyDescent="0.3"/>
  <cols>
    <col min="1" max="1" width="32.21875" customWidth="1"/>
    <col min="2" max="2" width="19.5546875" customWidth="1"/>
    <col min="3" max="4" width="18.77734375" customWidth="1"/>
    <col min="5" max="5" width="13.44140625" customWidth="1"/>
  </cols>
  <sheetData>
    <row r="1" spans="1:7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 x14ac:dyDescent="0.3">
      <c r="A2" s="2" t="s">
        <v>18</v>
      </c>
      <c r="B2" s="1" t="s">
        <v>19</v>
      </c>
      <c r="C2" s="1">
        <v>96</v>
      </c>
      <c r="D2" s="3"/>
      <c r="E2" s="3"/>
      <c r="F2" s="3"/>
      <c r="G2" s="3"/>
    </row>
    <row r="3" spans="1:7" x14ac:dyDescent="0.3">
      <c r="A3" s="3"/>
      <c r="B3" s="1" t="s">
        <v>20</v>
      </c>
      <c r="C3" s="1">
        <v>100</v>
      </c>
      <c r="D3" s="3"/>
      <c r="E3" s="3"/>
      <c r="F3" s="3"/>
      <c r="G3" s="3"/>
    </row>
    <row r="4" spans="1:7" x14ac:dyDescent="0.3">
      <c r="A4" s="3"/>
      <c r="B4" s="1" t="s">
        <v>21</v>
      </c>
      <c r="C4" s="1">
        <v>100</v>
      </c>
      <c r="D4" s="3"/>
      <c r="E4" s="3"/>
      <c r="F4" s="3"/>
      <c r="G4" s="3"/>
    </row>
    <row r="5" spans="1:7" x14ac:dyDescent="0.3">
      <c r="A5" s="3"/>
      <c r="B5" s="1" t="s">
        <v>23</v>
      </c>
      <c r="C5" s="1">
        <v>100</v>
      </c>
      <c r="D5" s="3"/>
      <c r="E5" s="3"/>
      <c r="F5" s="3"/>
      <c r="G5" s="3"/>
    </row>
    <row r="6" spans="1:7" x14ac:dyDescent="0.3">
      <c r="A6" s="3"/>
      <c r="B6" s="1" t="s">
        <v>22</v>
      </c>
      <c r="C6" s="1">
        <v>92</v>
      </c>
      <c r="D6" s="3"/>
      <c r="E6" s="3"/>
      <c r="F6" s="3"/>
      <c r="G6" s="3"/>
    </row>
    <row r="7" spans="1:7" x14ac:dyDescent="0.3">
      <c r="A7" s="3"/>
      <c r="B7" s="1" t="s">
        <v>24</v>
      </c>
      <c r="C7" s="1">
        <v>100</v>
      </c>
      <c r="D7" s="3"/>
      <c r="E7" s="3"/>
      <c r="F7" s="3"/>
      <c r="G7" s="3"/>
    </row>
    <row r="8" spans="1:7" x14ac:dyDescent="0.3">
      <c r="A8" s="3"/>
      <c r="B8" s="1" t="s">
        <v>25</v>
      </c>
      <c r="C8" s="1">
        <v>98</v>
      </c>
      <c r="D8" s="3"/>
      <c r="E8" s="3"/>
      <c r="F8" s="3"/>
      <c r="G8" s="3"/>
    </row>
    <row r="9" spans="1:7" x14ac:dyDescent="0.3">
      <c r="A9" s="3"/>
      <c r="B9" s="1" t="s">
        <v>26</v>
      </c>
      <c r="C9" s="1">
        <v>100</v>
      </c>
      <c r="D9" s="3"/>
      <c r="E9" s="3"/>
      <c r="F9" s="3"/>
      <c r="G9" s="3"/>
    </row>
    <row r="10" spans="1:7" x14ac:dyDescent="0.3">
      <c r="A10" s="3"/>
      <c r="B10" s="1" t="s">
        <v>27</v>
      </c>
      <c r="C10" s="1">
        <v>100</v>
      </c>
      <c r="D10" s="3"/>
      <c r="E10" s="3"/>
      <c r="F10" s="3"/>
      <c r="G10" s="3"/>
    </row>
    <row r="11" spans="1:7" x14ac:dyDescent="0.3">
      <c r="A11" s="3"/>
      <c r="B11" s="1" t="s">
        <v>28</v>
      </c>
      <c r="C11" s="1">
        <v>100</v>
      </c>
      <c r="D11" s="3"/>
      <c r="E11" s="3"/>
      <c r="F11" s="3"/>
      <c r="G11" s="3"/>
    </row>
    <row r="12" spans="1:7" x14ac:dyDescent="0.3">
      <c r="A12" s="3"/>
      <c r="B12" s="1" t="s">
        <v>29</v>
      </c>
      <c r="C12" s="1">
        <v>98</v>
      </c>
      <c r="D12" s="3"/>
      <c r="E12" s="3"/>
      <c r="F12" s="3"/>
      <c r="G12" s="3"/>
    </row>
    <row r="13" spans="1:7" x14ac:dyDescent="0.3">
      <c r="A13" s="3"/>
      <c r="B13" s="4"/>
      <c r="C13" s="4"/>
      <c r="D13" s="1">
        <f>AVERAGE(C2:C12)</f>
        <v>98.545454545454547</v>
      </c>
      <c r="E13" s="1">
        <v>0.05</v>
      </c>
      <c r="F13" s="1">
        <f>E13*C2</f>
        <v>4.8000000000000007</v>
      </c>
      <c r="G13" s="3"/>
    </row>
    <row r="14" spans="1:7" x14ac:dyDescent="0.3">
      <c r="A14" s="2" t="s">
        <v>30</v>
      </c>
      <c r="B14" s="1" t="s">
        <v>31</v>
      </c>
      <c r="C14" s="1">
        <v>10</v>
      </c>
      <c r="D14" s="4"/>
      <c r="E14" s="4"/>
      <c r="F14" s="4"/>
      <c r="G14" s="3"/>
    </row>
    <row r="15" spans="1:7" x14ac:dyDescent="0.3">
      <c r="A15" s="3"/>
      <c r="B15" s="1" t="s">
        <v>32</v>
      </c>
      <c r="C15" s="1">
        <v>9.75</v>
      </c>
      <c r="D15" s="4"/>
      <c r="E15" s="4"/>
      <c r="F15" s="4"/>
      <c r="G15" s="3"/>
    </row>
    <row r="16" spans="1:7" x14ac:dyDescent="0.3">
      <c r="A16" s="3"/>
      <c r="B16" s="1" t="s">
        <v>33</v>
      </c>
      <c r="C16" s="1">
        <v>9.25</v>
      </c>
      <c r="D16" s="4"/>
      <c r="E16" s="4"/>
      <c r="F16" s="4"/>
      <c r="G16" s="3"/>
    </row>
    <row r="17" spans="1:7" x14ac:dyDescent="0.3">
      <c r="A17" s="3"/>
      <c r="B17" s="1" t="s">
        <v>34</v>
      </c>
      <c r="C17" s="1">
        <v>10</v>
      </c>
      <c r="D17" s="4"/>
      <c r="E17" s="4"/>
      <c r="F17" s="4"/>
      <c r="G17" s="3"/>
    </row>
    <row r="18" spans="1:7" x14ac:dyDescent="0.3">
      <c r="A18" s="3"/>
      <c r="B18" s="1" t="s">
        <v>35</v>
      </c>
      <c r="C18" s="1">
        <v>10</v>
      </c>
      <c r="D18" s="4"/>
      <c r="E18" s="4"/>
      <c r="F18" s="4"/>
      <c r="G18" s="3"/>
    </row>
    <row r="19" spans="1:7" x14ac:dyDescent="0.3">
      <c r="A19" s="3"/>
      <c r="B19" s="1" t="s">
        <v>36</v>
      </c>
      <c r="C19" s="1">
        <v>10</v>
      </c>
      <c r="D19" s="4"/>
      <c r="E19" s="4"/>
      <c r="F19" s="4"/>
      <c r="G19" s="3"/>
    </row>
    <row r="20" spans="1:7" x14ac:dyDescent="0.3">
      <c r="A20" s="3"/>
      <c r="B20" s="1" t="s">
        <v>37</v>
      </c>
      <c r="C20" s="1">
        <v>10</v>
      </c>
      <c r="D20" s="4"/>
      <c r="E20" s="4"/>
      <c r="F20" s="4"/>
      <c r="G20" s="3"/>
    </row>
    <row r="21" spans="1:7" x14ac:dyDescent="0.3">
      <c r="A21" s="3"/>
      <c r="B21" s="1" t="s">
        <v>38</v>
      </c>
      <c r="C21" s="1">
        <v>10</v>
      </c>
      <c r="D21" s="4"/>
      <c r="E21" s="4"/>
      <c r="F21" s="4"/>
      <c r="G21" s="3"/>
    </row>
    <row r="22" spans="1:7" x14ac:dyDescent="0.3">
      <c r="A22" s="3"/>
      <c r="B22" s="1" t="s">
        <v>39</v>
      </c>
      <c r="C22" s="1">
        <v>10</v>
      </c>
      <c r="D22" s="4"/>
      <c r="E22" s="4"/>
      <c r="F22" s="4"/>
      <c r="G22" s="3"/>
    </row>
    <row r="23" spans="1:7" x14ac:dyDescent="0.3">
      <c r="A23" s="3"/>
      <c r="B23" s="1" t="s">
        <v>40</v>
      </c>
      <c r="C23" s="1">
        <v>10</v>
      </c>
      <c r="D23" s="4"/>
      <c r="E23" s="4"/>
      <c r="F23" s="4"/>
      <c r="G23" s="3"/>
    </row>
    <row r="24" spans="1:7" x14ac:dyDescent="0.3">
      <c r="A24" s="3"/>
      <c r="B24" s="1" t="s">
        <v>41</v>
      </c>
      <c r="C24" s="1">
        <v>10</v>
      </c>
      <c r="D24" s="4"/>
      <c r="E24" s="4"/>
      <c r="F24" s="4"/>
      <c r="G24" s="3"/>
    </row>
    <row r="25" spans="1:7" x14ac:dyDescent="0.3">
      <c r="A25" s="3"/>
      <c r="B25" s="4"/>
      <c r="C25" s="3"/>
      <c r="D25" s="1">
        <f>AVERAGE(C14:C24)*10</f>
        <v>99.090909090909079</v>
      </c>
      <c r="E25" s="1">
        <v>0.15</v>
      </c>
      <c r="F25" s="1">
        <f>D25*E25</f>
        <v>14.863636363636362</v>
      </c>
      <c r="G25" s="3"/>
    </row>
    <row r="26" spans="1:7" x14ac:dyDescent="0.3">
      <c r="A26" s="3"/>
      <c r="B26" s="4"/>
      <c r="C26" s="3"/>
      <c r="D26" s="3"/>
      <c r="E26" s="3"/>
      <c r="F26" s="3"/>
      <c r="G26" s="3"/>
    </row>
    <row r="27" spans="1:7" x14ac:dyDescent="0.3">
      <c r="A27" s="2" t="s">
        <v>12</v>
      </c>
      <c r="B27" s="1" t="s">
        <v>13</v>
      </c>
      <c r="C27" s="1">
        <v>80.09</v>
      </c>
      <c r="D27" s="1">
        <v>0.05</v>
      </c>
      <c r="E27" s="1">
        <f>C27*D27</f>
        <v>4.0045000000000002</v>
      </c>
      <c r="F27" s="4"/>
      <c r="G27" s="3"/>
    </row>
    <row r="28" spans="1:7" x14ac:dyDescent="0.3">
      <c r="A28" s="3"/>
      <c r="B28" s="1" t="s">
        <v>14</v>
      </c>
      <c r="C28" s="1">
        <v>128.63</v>
      </c>
      <c r="D28" s="1">
        <v>0.05</v>
      </c>
      <c r="E28" s="1">
        <f>C28*D28</f>
        <v>6.4314999999999998</v>
      </c>
      <c r="F28" s="1">
        <f>MAX(E28-5, 0)</f>
        <v>1.4314999999999998</v>
      </c>
      <c r="G28" s="3"/>
    </row>
    <row r="29" spans="1:7" x14ac:dyDescent="0.3">
      <c r="A29" s="3"/>
      <c r="B29" s="1" t="s">
        <v>15</v>
      </c>
      <c r="C29" s="1">
        <v>82.97</v>
      </c>
      <c r="D29" s="1">
        <v>0.03</v>
      </c>
      <c r="E29" s="1">
        <f t="shared" ref="E29:E31" si="0">C29*D29</f>
        <v>2.4891000000000001</v>
      </c>
      <c r="F29" s="4"/>
      <c r="G29" s="3"/>
    </row>
    <row r="30" spans="1:7" x14ac:dyDescent="0.3">
      <c r="A30" s="3"/>
      <c r="B30" s="1" t="s">
        <v>16</v>
      </c>
      <c r="C30" s="1">
        <v>76.62</v>
      </c>
      <c r="D30" s="1">
        <v>0.02</v>
      </c>
      <c r="E30" s="1">
        <f t="shared" si="0"/>
        <v>1.5324000000000002</v>
      </c>
      <c r="F30" s="4"/>
      <c r="G30" s="3"/>
    </row>
    <row r="31" spans="1:7" x14ac:dyDescent="0.3">
      <c r="A31" s="3"/>
      <c r="B31" s="1" t="s">
        <v>17</v>
      </c>
      <c r="C31" s="1">
        <v>75</v>
      </c>
      <c r="D31" s="1">
        <v>0.01</v>
      </c>
      <c r="E31" s="1">
        <f t="shared" si="0"/>
        <v>0.75</v>
      </c>
      <c r="F31" s="4"/>
      <c r="G31" s="3"/>
    </row>
    <row r="32" spans="1:7" x14ac:dyDescent="0.3">
      <c r="A32" s="3"/>
      <c r="B32" s="3"/>
      <c r="C32" s="3"/>
      <c r="D32" s="3"/>
      <c r="E32" s="3"/>
      <c r="F32" s="1">
        <f>MIN(10,SUM(E27:E31))</f>
        <v>10</v>
      </c>
      <c r="G32" s="3"/>
    </row>
    <row r="33" spans="1:7" x14ac:dyDescent="0.3">
      <c r="A33" s="2" t="s">
        <v>6</v>
      </c>
      <c r="B33" s="1" t="s">
        <v>5</v>
      </c>
      <c r="C33" s="1">
        <v>93</v>
      </c>
      <c r="D33" s="3"/>
      <c r="E33" s="3"/>
      <c r="F33" s="3"/>
      <c r="G33" s="3"/>
    </row>
    <row r="34" spans="1:7" x14ac:dyDescent="0.3">
      <c r="A34" s="3"/>
      <c r="B34" s="3"/>
      <c r="C34" s="3"/>
      <c r="D34" s="1">
        <v>93</v>
      </c>
      <c r="E34" s="1">
        <v>0.18</v>
      </c>
      <c r="F34" s="1">
        <f>D34*E34</f>
        <v>16.739999999999998</v>
      </c>
      <c r="G34" s="3"/>
    </row>
    <row r="35" spans="1:7" x14ac:dyDescent="0.3">
      <c r="A35" s="2" t="s">
        <v>7</v>
      </c>
      <c r="B35" s="1" t="s">
        <v>5</v>
      </c>
      <c r="C35" s="1">
        <v>86</v>
      </c>
      <c r="D35" s="3"/>
      <c r="E35" s="3"/>
      <c r="F35" s="3"/>
      <c r="G35" s="3"/>
    </row>
    <row r="36" spans="1:7" x14ac:dyDescent="0.3">
      <c r="A36" s="3"/>
      <c r="B36" s="3"/>
      <c r="C36" s="3"/>
      <c r="D36" s="1">
        <v>86</v>
      </c>
      <c r="E36" s="1">
        <v>0.12</v>
      </c>
      <c r="F36" s="1">
        <f>D36*E36</f>
        <v>10.32</v>
      </c>
      <c r="G36" s="3"/>
    </row>
    <row r="37" spans="1:7" x14ac:dyDescent="0.3">
      <c r="A37" s="2" t="s">
        <v>8</v>
      </c>
      <c r="B37" s="1" t="s">
        <v>5</v>
      </c>
      <c r="C37" s="1">
        <v>83</v>
      </c>
      <c r="D37" s="3"/>
      <c r="E37" s="3"/>
      <c r="F37" s="3"/>
      <c r="G37" s="3"/>
    </row>
    <row r="38" spans="1:7" x14ac:dyDescent="0.3">
      <c r="A38" s="3"/>
      <c r="B38" s="3"/>
      <c r="C38" s="3"/>
      <c r="D38" s="1">
        <f>C37</f>
        <v>83</v>
      </c>
      <c r="E38" s="1">
        <v>0.09</v>
      </c>
      <c r="F38" s="1">
        <f>D38*E38</f>
        <v>7.47</v>
      </c>
      <c r="G38" s="3"/>
    </row>
    <row r="39" spans="1:7" x14ac:dyDescent="0.3">
      <c r="A39" s="2" t="s">
        <v>9</v>
      </c>
      <c r="B39" s="1" t="s">
        <v>5</v>
      </c>
      <c r="C39" s="1">
        <v>73</v>
      </c>
      <c r="D39" s="3"/>
      <c r="E39" s="3"/>
      <c r="F39" s="3"/>
      <c r="G39" s="3"/>
    </row>
    <row r="40" spans="1:7" x14ac:dyDescent="0.3">
      <c r="A40" s="3"/>
      <c r="B40" s="3"/>
      <c r="C40" s="3"/>
      <c r="D40" s="2">
        <f>C39</f>
        <v>73</v>
      </c>
      <c r="E40" s="1">
        <v>0.06</v>
      </c>
      <c r="F40" s="1">
        <f>D40*E40</f>
        <v>4.38</v>
      </c>
      <c r="G40" s="3"/>
    </row>
    <row r="41" spans="1:7" x14ac:dyDescent="0.3">
      <c r="A41" s="2" t="s">
        <v>11</v>
      </c>
      <c r="B41" s="2" t="s">
        <v>5</v>
      </c>
      <c r="C41" s="2"/>
      <c r="D41" s="3"/>
      <c r="E41" s="3"/>
      <c r="F41" s="3"/>
      <c r="G41" s="3"/>
    </row>
    <row r="42" spans="1:7" x14ac:dyDescent="0.3">
      <c r="A42" s="3"/>
      <c r="B42" s="3"/>
      <c r="C42" s="3"/>
      <c r="D42" s="2">
        <f>C41</f>
        <v>0</v>
      </c>
      <c r="E42" s="2">
        <v>0.25</v>
      </c>
      <c r="F42" s="2">
        <f>D42*E42</f>
        <v>0</v>
      </c>
      <c r="G42" s="3"/>
    </row>
    <row r="43" spans="1:7" x14ac:dyDescent="0.3">
      <c r="A43" s="3"/>
      <c r="B43" s="3"/>
      <c r="C43" s="3"/>
      <c r="D43" s="3"/>
      <c r="E43" s="3"/>
      <c r="F43" s="3"/>
      <c r="G43" s="3"/>
    </row>
    <row r="44" spans="1:7" x14ac:dyDescent="0.3">
      <c r="A44" s="3"/>
      <c r="B44" s="3"/>
      <c r="C44" s="3"/>
      <c r="D44" s="3"/>
      <c r="E44" s="3"/>
      <c r="F44" s="3"/>
      <c r="G44" s="3"/>
    </row>
    <row r="45" spans="1:7" x14ac:dyDescent="0.3">
      <c r="A45" s="3"/>
      <c r="B45" s="3"/>
      <c r="C45" s="3"/>
      <c r="D45" s="3"/>
      <c r="E45" s="2" t="s">
        <v>10</v>
      </c>
      <c r="F45" s="2">
        <f>SUM(F2:F42)</f>
        <v>70.005136363636367</v>
      </c>
      <c r="G45" s="3"/>
    </row>
    <row r="46" spans="1:7" x14ac:dyDescent="0.3">
      <c r="A46" s="3"/>
      <c r="B46" s="3"/>
      <c r="C46" s="3"/>
      <c r="D46" s="3"/>
      <c r="E46" s="3"/>
      <c r="F46" s="3"/>
      <c r="G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2023-03-09T01:14:06Z</dcterms:created>
  <dcterms:modified xsi:type="dcterms:W3CDTF">2023-04-28T20:18:22Z</dcterms:modified>
</cp:coreProperties>
</file>