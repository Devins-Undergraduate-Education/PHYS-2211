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OneDrive\Documents\Georgia Tech\PHYS 2211\"/>
    </mc:Choice>
  </mc:AlternateContent>
  <xr:revisionPtr revIDLastSave="0" documentId="8_{374AD405-DB35-433A-8FFC-0BF42739D69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7" i="1" l="1"/>
  <c r="G57" i="1"/>
  <c r="E40" i="1"/>
  <c r="E20" i="1"/>
  <c r="G20" i="1" s="1"/>
  <c r="E42" i="1"/>
  <c r="G42" i="1" s="1"/>
  <c r="E41" i="1"/>
  <c r="E39" i="1"/>
  <c r="E60" i="1"/>
  <c r="G60" i="1" s="1"/>
  <c r="E59" i="1"/>
  <c r="E58" i="1"/>
  <c r="G58" i="1"/>
  <c r="E56" i="1"/>
  <c r="G56" i="1" s="1"/>
  <c r="F38" i="1"/>
  <c r="F39" i="1"/>
  <c r="F40" i="1"/>
  <c r="F41" i="1"/>
  <c r="F42" i="1"/>
  <c r="F20" i="1"/>
  <c r="F21" i="1"/>
  <c r="F22" i="1"/>
  <c r="F23" i="1"/>
  <c r="G21" i="1"/>
  <c r="F24" i="1"/>
  <c r="E38" i="1"/>
  <c r="F60" i="1"/>
  <c r="F59" i="1"/>
  <c r="F58" i="1"/>
  <c r="F57" i="1"/>
  <c r="F56" i="1"/>
  <c r="G38" i="1"/>
  <c r="G22" i="1"/>
  <c r="G23" i="1"/>
  <c r="G24" i="1"/>
  <c r="E21" i="1"/>
  <c r="E22" i="1"/>
  <c r="E23" i="1"/>
  <c r="E24" i="1"/>
  <c r="G59" i="1" l="1"/>
  <c r="G63" i="1" s="1"/>
  <c r="G64" i="1" s="1"/>
  <c r="G40" i="1"/>
  <c r="G27" i="1"/>
  <c r="G28" i="1" s="1"/>
  <c r="G26" i="1"/>
  <c r="G39" i="1"/>
  <c r="G41" i="1"/>
  <c r="G45" i="1" l="1"/>
  <c r="G46" i="1" s="1"/>
  <c r="F71" i="1" s="1"/>
  <c r="G44" i="1"/>
  <c r="G62" i="1"/>
  <c r="D71" i="1" l="1"/>
</calcChain>
</file>

<file path=xl/sharedStrings.xml><?xml version="1.0" encoding="utf-8"?>
<sst xmlns="http://schemas.openxmlformats.org/spreadsheetml/2006/main" count="44" uniqueCount="24">
  <si>
    <t>Lab 09 – Impulse and Momentum</t>
  </si>
  <si>
    <t>Your Name:</t>
  </si>
  <si>
    <t>Partner(s):</t>
  </si>
  <si>
    <t>Mass of cart and force sensor, for all experiments:</t>
  </si>
  <si>
    <t>Experiment 1 – Hanging mass 55 g</t>
  </si>
  <si>
    <t>Momentum</t>
  </si>
  <si>
    <t>Difference</t>
  </si>
  <si>
    <t>Average:</t>
  </si>
  <si>
    <t>Standard Deviation:</t>
  </si>
  <si>
    <t>Standard Error:</t>
  </si>
  <si>
    <t>Experiment 2 – Hanging mass 75 g</t>
  </si>
  <si>
    <t>Experiment 3 – Hanging mass 95 g</t>
  </si>
  <si>
    <t>Summary</t>
  </si>
  <si>
    <t>±</t>
  </si>
  <si>
    <r>
      <t xml:space="preserve">Difference </t>
    </r>
    <r>
      <rPr>
        <i/>
        <sz val="12"/>
        <rFont val="Century"/>
        <family val="1"/>
      </rPr>
      <t xml:space="preserve">J </t>
    </r>
    <r>
      <rPr>
        <sz val="12"/>
        <rFont val="Century"/>
        <family val="1"/>
      </rPr>
      <t>– D</t>
    </r>
    <r>
      <rPr>
        <i/>
        <sz val="12"/>
        <rFont val="Century"/>
        <family val="1"/>
      </rPr>
      <t>p:</t>
    </r>
  </si>
  <si>
    <t>Devin Fromond</t>
  </si>
  <si>
    <t>Evan Romero, Carlos Hernendez</t>
  </si>
  <si>
    <t>Time (s)</t>
  </si>
  <si>
    <t>Velocity (m/s)</t>
  </si>
  <si>
    <t>(kg)</t>
  </si>
  <si>
    <t>(N*s)</t>
  </si>
  <si>
    <r>
      <t xml:space="preserve">J – </t>
    </r>
    <r>
      <rPr>
        <sz val="12"/>
        <rFont val="Century"/>
        <family val="1"/>
      </rPr>
      <t>D</t>
    </r>
    <r>
      <rPr>
        <i/>
        <sz val="12"/>
        <rFont val="Century"/>
        <family val="1"/>
      </rPr>
      <t>p</t>
    </r>
    <r>
      <rPr>
        <sz val="12"/>
        <rFont val="Century"/>
        <family val="1"/>
      </rPr>
      <t xml:space="preserve"> (N*s)</t>
    </r>
  </si>
  <si>
    <r>
      <t>Change, D</t>
    </r>
    <r>
      <rPr>
        <i/>
        <sz val="12"/>
        <rFont val="Century"/>
        <family val="1"/>
      </rPr>
      <t>p</t>
    </r>
    <r>
      <rPr>
        <sz val="12"/>
        <rFont val="Century"/>
        <family val="1"/>
      </rPr>
      <t>(N*s)</t>
    </r>
  </si>
  <si>
    <r>
      <t xml:space="preserve">Impulse, </t>
    </r>
    <r>
      <rPr>
        <i/>
        <sz val="12"/>
        <rFont val="Century"/>
        <family val="1"/>
      </rPr>
      <t xml:space="preserve">J </t>
    </r>
    <r>
      <rPr>
        <sz val="12"/>
        <rFont val="Century"/>
        <family val="1"/>
      </rPr>
      <t>(N*s)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</si>
</sst>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0"/>
      <name val="Arial"/>
      <family val="2"/>
      <charset val="1"/>
    </font>
    <font>
      <sz val="12"/>
      <name val="Century"/>
      <family val="1"/>
    </font>
    <font>
      <b/>
      <sz val="14"/>
      <name val="Century"/>
      <family val="1"/>
    </font>
    <font>
      <sz val="10"/>
      <name val="Century"/>
      <family val="1"/>
    </font>
    <font>
      <b/>
      <sz val="12"/>
      <name val="Century"/>
      <family val="1"/>
    </font>
    <font>
      <i/>
      <sz val="12"/>
      <name val="Century"/>
      <family val="1"/>
    </font>
    <font>
      <sz val="14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71"/>
  <sheetViews>
    <sheetView showGridLines="0" tabSelected="1" zoomScale="77" zoomScaleNormal="100" workbookViewId="0">
      <selection activeCell="J22" sqref="J22"/>
    </sheetView>
  </sheetViews>
  <sheetFormatPr defaultRowHeight="15" x14ac:dyDescent="0.25"/>
  <cols>
    <col min="1" max="7" width="19.44140625" style="1" customWidth="1"/>
    <col min="8" max="1025" width="11.5546875" style="1"/>
    <col min="1026" max="16384" width="8.88671875" style="3"/>
  </cols>
  <sheetData>
    <row r="1" spans="2:5" ht="17.399999999999999" x14ac:dyDescent="0.25">
      <c r="B1" s="2"/>
    </row>
    <row r="2" spans="2:5" ht="17.399999999999999" x14ac:dyDescent="0.25">
      <c r="B2" s="22" t="s">
        <v>0</v>
      </c>
      <c r="C2" s="22"/>
      <c r="D2" s="22"/>
      <c r="E2" s="22"/>
    </row>
    <row r="3" spans="2:5" x14ac:dyDescent="0.25">
      <c r="B3" s="4"/>
    </row>
    <row r="4" spans="2:5" x14ac:dyDescent="0.25">
      <c r="B4" s="4" t="s">
        <v>1</v>
      </c>
      <c r="C4" s="23" t="s">
        <v>15</v>
      </c>
      <c r="D4" s="23"/>
      <c r="E4" s="23"/>
    </row>
    <row r="5" spans="2:5" x14ac:dyDescent="0.25">
      <c r="B5" s="4"/>
    </row>
    <row r="6" spans="2:5" x14ac:dyDescent="0.25">
      <c r="B6" s="4" t="s">
        <v>2</v>
      </c>
      <c r="C6" s="23" t="s">
        <v>16</v>
      </c>
      <c r="D6" s="23"/>
      <c r="E6" s="23"/>
    </row>
    <row r="7" spans="2:5" x14ac:dyDescent="0.25">
      <c r="B7" s="4"/>
    </row>
    <row r="8" spans="2:5" x14ac:dyDescent="0.25">
      <c r="B8" s="4"/>
    </row>
    <row r="9" spans="2:5" x14ac:dyDescent="0.25">
      <c r="B9" s="4"/>
    </row>
    <row r="10" spans="2:5" x14ac:dyDescent="0.25">
      <c r="C10" s="6" t="s">
        <v>3</v>
      </c>
      <c r="D10" s="5">
        <v>0.86299999999999999</v>
      </c>
      <c r="E10" s="1" t="s">
        <v>19</v>
      </c>
    </row>
    <row r="11" spans="2:5" x14ac:dyDescent="0.25">
      <c r="B11" s="4"/>
    </row>
    <row r="12" spans="2:5" x14ac:dyDescent="0.25">
      <c r="C12" s="7"/>
    </row>
    <row r="14" spans="2:5" x14ac:dyDescent="0.25">
      <c r="B14" s="8" t="s">
        <v>4</v>
      </c>
    </row>
    <row r="15" spans="2:5" ht="17.25" customHeight="1" x14ac:dyDescent="0.25">
      <c r="B15" s="9"/>
    </row>
    <row r="16" spans="2:5" ht="17.25" customHeight="1" thickBot="1" x14ac:dyDescent="0.3">
      <c r="B16" s="9"/>
    </row>
    <row r="17" spans="2:7" ht="15.6" thickBot="1" x14ac:dyDescent="0.3">
      <c r="C17" s="21" t="s">
        <v>17</v>
      </c>
      <c r="D17" s="21" t="s">
        <v>18</v>
      </c>
      <c r="E17" s="21" t="s">
        <v>23</v>
      </c>
      <c r="F17" s="10" t="s">
        <v>5</v>
      </c>
      <c r="G17" s="10" t="s">
        <v>6</v>
      </c>
    </row>
    <row r="18" spans="2:7" ht="15.6" thickBot="1" x14ac:dyDescent="0.3">
      <c r="C18" s="21"/>
      <c r="D18" s="21"/>
      <c r="E18" s="21"/>
      <c r="F18" s="11" t="s">
        <v>22</v>
      </c>
      <c r="G18" s="12" t="s">
        <v>21</v>
      </c>
    </row>
    <row r="19" spans="2:7" ht="15.6" thickBot="1" x14ac:dyDescent="0.3">
      <c r="C19" s="16">
        <v>0</v>
      </c>
      <c r="D19" s="16">
        <v>0.1479</v>
      </c>
      <c r="E19" s="17"/>
      <c r="F19" s="17"/>
      <c r="G19" s="17"/>
    </row>
    <row r="20" spans="2:7" ht="15.6" thickBot="1" x14ac:dyDescent="0.3">
      <c r="C20" s="16">
        <v>0.2</v>
      </c>
      <c r="D20" s="18">
        <v>0.25419999999999998</v>
      </c>
      <c r="E20" s="18">
        <f>0.4728*(C20-C19)</f>
        <v>9.4560000000000005E-2</v>
      </c>
      <c r="F20" s="18">
        <f t="shared" ref="F20:F23" si="0">0.918*(D20-D19)</f>
        <v>9.7583399999999987E-2</v>
      </c>
      <c r="G20" s="18">
        <f>E20-F20</f>
        <v>-3.0233999999999817E-3</v>
      </c>
    </row>
    <row r="21" spans="2:7" x14ac:dyDescent="0.25">
      <c r="C21" s="16">
        <v>0.4</v>
      </c>
      <c r="D21" s="16">
        <v>0.34379999999999999</v>
      </c>
      <c r="E21" s="18">
        <f t="shared" ref="E21:E24" si="1">0.4056*(C21-C20)</f>
        <v>8.1120000000000012E-2</v>
      </c>
      <c r="F21" s="18">
        <f t="shared" si="0"/>
        <v>8.2252800000000015E-2</v>
      </c>
      <c r="G21" s="18">
        <f t="shared" ref="G21:G24" si="2">E21-F21</f>
        <v>-1.1328000000000032E-3</v>
      </c>
    </row>
    <row r="22" spans="2:7" x14ac:dyDescent="0.25">
      <c r="C22" s="16">
        <v>0.6</v>
      </c>
      <c r="D22" s="16">
        <v>0.42920000000000003</v>
      </c>
      <c r="E22" s="18">
        <f t="shared" si="1"/>
        <v>8.1119999999999984E-2</v>
      </c>
      <c r="F22" s="18">
        <f t="shared" si="0"/>
        <v>7.8397200000000028E-2</v>
      </c>
      <c r="G22" s="18">
        <f t="shared" si="2"/>
        <v>2.7227999999999558E-3</v>
      </c>
    </row>
    <row r="23" spans="2:7" x14ac:dyDescent="0.25">
      <c r="C23" s="16">
        <v>0.8</v>
      </c>
      <c r="D23" s="16">
        <v>0.52080000000000004</v>
      </c>
      <c r="E23" s="18">
        <f t="shared" si="1"/>
        <v>8.1120000000000025E-2</v>
      </c>
      <c r="F23" s="18">
        <f t="shared" si="0"/>
        <v>8.4088800000000019E-2</v>
      </c>
      <c r="G23" s="18">
        <f t="shared" si="2"/>
        <v>-2.9687999999999937E-3</v>
      </c>
    </row>
    <row r="24" spans="2:7" x14ac:dyDescent="0.25">
      <c r="C24" s="16">
        <v>1</v>
      </c>
      <c r="D24" s="16">
        <v>0.61250000000000004</v>
      </c>
      <c r="E24" s="18">
        <f t="shared" si="1"/>
        <v>8.1119999999999984E-2</v>
      </c>
      <c r="F24" s="18">
        <f>0.918*(D24-D23)</f>
        <v>8.4180600000000008E-2</v>
      </c>
      <c r="G24" s="18">
        <f t="shared" si="2"/>
        <v>-3.0606000000000244E-3</v>
      </c>
    </row>
    <row r="26" spans="2:7" ht="17.399999999999999" x14ac:dyDescent="0.3">
      <c r="C26" s="7"/>
      <c r="E26" s="13"/>
      <c r="F26" s="7" t="s">
        <v>7</v>
      </c>
      <c r="G26" s="19">
        <f>AVERAGE(G20:G24)</f>
        <v>-1.4925600000000095E-3</v>
      </c>
    </row>
    <row r="27" spans="2:7" x14ac:dyDescent="0.25">
      <c r="C27" s="7"/>
      <c r="D27" s="14"/>
      <c r="F27" s="7" t="s">
        <v>8</v>
      </c>
      <c r="G27" s="20">
        <f>_xlfn.STDEV.S(G20:G24)</f>
        <v>2.4940024194053836E-3</v>
      </c>
    </row>
    <row r="28" spans="2:7" ht="17.399999999999999" x14ac:dyDescent="0.3">
      <c r="C28" s="7"/>
      <c r="D28" s="7"/>
      <c r="E28" s="13"/>
      <c r="F28" s="7" t="s">
        <v>9</v>
      </c>
      <c r="G28" s="20">
        <f>G27/SQRT(6)</f>
        <v>1.0181722241349863E-3</v>
      </c>
    </row>
    <row r="32" spans="2:7" x14ac:dyDescent="0.25">
      <c r="B32" s="8" t="s">
        <v>10</v>
      </c>
    </row>
    <row r="33" spans="2:7" ht="17.25" customHeight="1" x14ac:dyDescent="0.25">
      <c r="B33" s="9"/>
    </row>
    <row r="34" spans="2:7" ht="17.25" customHeight="1" thickBot="1" x14ac:dyDescent="0.3">
      <c r="B34" s="9"/>
    </row>
    <row r="35" spans="2:7" ht="15.6" thickBot="1" x14ac:dyDescent="0.3">
      <c r="C35" s="21" t="s">
        <v>17</v>
      </c>
      <c r="D35" s="21" t="s">
        <v>18</v>
      </c>
      <c r="E35" s="21" t="s">
        <v>23</v>
      </c>
      <c r="F35" s="10" t="s">
        <v>5</v>
      </c>
      <c r="G35" s="10" t="s">
        <v>6</v>
      </c>
    </row>
    <row r="36" spans="2:7" ht="15.6" thickBot="1" x14ac:dyDescent="0.3">
      <c r="C36" s="21"/>
      <c r="D36" s="21"/>
      <c r="E36" s="21"/>
      <c r="F36" s="11" t="s">
        <v>22</v>
      </c>
      <c r="G36" s="12" t="s">
        <v>21</v>
      </c>
    </row>
    <row r="37" spans="2:7" ht="15.6" thickBot="1" x14ac:dyDescent="0.3">
      <c r="C37" s="16">
        <v>0</v>
      </c>
      <c r="D37" s="16">
        <v>1.8700000000000001E-2</v>
      </c>
      <c r="E37" s="17"/>
      <c r="F37" s="17"/>
      <c r="G37" s="17"/>
    </row>
    <row r="38" spans="2:7" ht="15.6" thickBot="1" x14ac:dyDescent="0.3">
      <c r="C38" s="16">
        <v>0.2</v>
      </c>
      <c r="D38" s="18">
        <v>0.16669999999999999</v>
      </c>
      <c r="E38" s="18">
        <f>0.6684*(C38-C37)</f>
        <v>0.13367999999999999</v>
      </c>
      <c r="F38" s="18">
        <f t="shared" ref="F38:F41" si="3">0.918*(D38-D37)</f>
        <v>0.13586400000000001</v>
      </c>
      <c r="G38" s="18">
        <f>E38-F38</f>
        <v>-2.1840000000000193E-3</v>
      </c>
    </row>
    <row r="39" spans="2:7" ht="15.6" thickBot="1" x14ac:dyDescent="0.3">
      <c r="C39" s="16">
        <v>0.4</v>
      </c>
      <c r="D39" s="16">
        <v>0.2979</v>
      </c>
      <c r="E39" s="18">
        <f>0.6482*(C39-C38)</f>
        <v>0.12964000000000001</v>
      </c>
      <c r="F39" s="18">
        <f t="shared" si="3"/>
        <v>0.12044160000000001</v>
      </c>
      <c r="G39" s="18">
        <f t="shared" ref="G39:G42" si="4">E39-F39</f>
        <v>9.1983999999999955E-3</v>
      </c>
    </row>
    <row r="40" spans="2:7" ht="15.6" thickBot="1" x14ac:dyDescent="0.3">
      <c r="C40" s="16">
        <v>0.6</v>
      </c>
      <c r="D40" s="16">
        <v>0.42499999999999999</v>
      </c>
      <c r="E40" s="18">
        <f>0.6184*(C40-C39)</f>
        <v>0.12367999999999996</v>
      </c>
      <c r="F40" s="18">
        <f t="shared" si="3"/>
        <v>0.1166778</v>
      </c>
      <c r="G40" s="18">
        <f t="shared" si="4"/>
        <v>7.0021999999999585E-3</v>
      </c>
    </row>
    <row r="41" spans="2:7" ht="15.6" thickBot="1" x14ac:dyDescent="0.3">
      <c r="C41" s="16">
        <v>0.8</v>
      </c>
      <c r="D41" s="16">
        <v>0.55830000000000002</v>
      </c>
      <c r="E41" s="18">
        <f>0.6462*(C41-C40)</f>
        <v>0.12924000000000005</v>
      </c>
      <c r="F41" s="18">
        <f t="shared" si="3"/>
        <v>0.12236940000000003</v>
      </c>
      <c r="G41" s="18">
        <f t="shared" si="4"/>
        <v>6.8706000000000184E-3</v>
      </c>
    </row>
    <row r="42" spans="2:7" ht="15.6" thickBot="1" x14ac:dyDescent="0.3">
      <c r="C42" s="16">
        <v>1</v>
      </c>
      <c r="D42" s="16">
        <v>0.69369999999999998</v>
      </c>
      <c r="E42" s="18">
        <f>0.6421*(C42-C41)</f>
        <v>0.12841999999999998</v>
      </c>
      <c r="F42" s="18">
        <f>0.918*(D42-D41)</f>
        <v>0.12429719999999997</v>
      </c>
      <c r="G42" s="18">
        <f t="shared" si="4"/>
        <v>4.1228000000000098E-3</v>
      </c>
    </row>
    <row r="43" spans="2:7" ht="15.6" thickBot="1" x14ac:dyDescent="0.3"/>
    <row r="44" spans="2:7" ht="18" thickBot="1" x14ac:dyDescent="0.35">
      <c r="C44" s="7"/>
      <c r="E44" s="13"/>
      <c r="F44" s="7" t="s">
        <v>7</v>
      </c>
      <c r="G44" s="19">
        <f>AVERAGE(G38:G42)</f>
        <v>5.0019999999999926E-3</v>
      </c>
    </row>
    <row r="45" spans="2:7" ht="15.6" thickBot="1" x14ac:dyDescent="0.3">
      <c r="C45" s="7"/>
      <c r="D45" s="14"/>
      <c r="F45" s="7" t="s">
        <v>8</v>
      </c>
      <c r="G45" s="20">
        <f>_xlfn.STDEV.S(G38:G42)</f>
        <v>4.4020968753538383E-3</v>
      </c>
    </row>
    <row r="46" spans="2:7" ht="18" thickBot="1" x14ac:dyDescent="0.35">
      <c r="C46" s="7"/>
      <c r="D46" s="7"/>
      <c r="E46" s="13"/>
      <c r="F46" s="7" t="s">
        <v>9</v>
      </c>
      <c r="G46" s="20">
        <f>G45/SQRT(6)</f>
        <v>1.7971485238195176E-3</v>
      </c>
    </row>
    <row r="50" spans="2:7" x14ac:dyDescent="0.25">
      <c r="B50" s="8" t="s">
        <v>11</v>
      </c>
    </row>
    <row r="51" spans="2:7" ht="17.25" customHeight="1" x14ac:dyDescent="0.25">
      <c r="B51" s="9"/>
    </row>
    <row r="52" spans="2:7" ht="17.25" customHeight="1" thickBot="1" x14ac:dyDescent="0.3">
      <c r="B52" s="9"/>
    </row>
    <row r="53" spans="2:7" ht="15.6" thickBot="1" x14ac:dyDescent="0.3">
      <c r="C53" s="21" t="s">
        <v>17</v>
      </c>
      <c r="D53" s="21" t="s">
        <v>18</v>
      </c>
      <c r="E53" s="21" t="s">
        <v>23</v>
      </c>
      <c r="F53" s="10" t="s">
        <v>5</v>
      </c>
      <c r="G53" s="10" t="s">
        <v>6</v>
      </c>
    </row>
    <row r="54" spans="2:7" ht="15.6" thickBot="1" x14ac:dyDescent="0.3">
      <c r="C54" s="21"/>
      <c r="D54" s="21"/>
      <c r="E54" s="21"/>
      <c r="F54" s="11" t="s">
        <v>22</v>
      </c>
      <c r="G54" s="12" t="s">
        <v>21</v>
      </c>
    </row>
    <row r="55" spans="2:7" ht="15.6" thickBot="1" x14ac:dyDescent="0.3">
      <c r="C55" s="16">
        <v>0</v>
      </c>
      <c r="D55" s="16">
        <v>3.7499999999999999E-2</v>
      </c>
      <c r="E55" s="17"/>
      <c r="F55" s="17"/>
      <c r="G55" s="17"/>
    </row>
    <row r="56" spans="2:7" ht="15.6" thickBot="1" x14ac:dyDescent="0.3">
      <c r="C56" s="16">
        <v>0.2</v>
      </c>
      <c r="D56" s="18">
        <v>0.22919999999999999</v>
      </c>
      <c r="E56" s="18">
        <f>0.8014*(C56-C55)</f>
        <v>0.16028000000000001</v>
      </c>
      <c r="F56" s="18">
        <f>0.863*(D56-D55)</f>
        <v>0.16543709999999998</v>
      </c>
      <c r="G56" s="18">
        <f>E56-F56</f>
        <v>-5.15709999999997E-3</v>
      </c>
    </row>
    <row r="57" spans="2:7" ht="15.6" thickBot="1" x14ac:dyDescent="0.3">
      <c r="C57" s="16">
        <v>0.4</v>
      </c>
      <c r="D57" s="16">
        <v>0.39579999999999999</v>
      </c>
      <c r="E57" s="18">
        <f>0.751*(C57-C56)</f>
        <v>0.1502</v>
      </c>
      <c r="F57" s="18">
        <f t="shared" ref="F57:F58" si="5">0.863*(D57-D56)</f>
        <v>0.14377580000000001</v>
      </c>
      <c r="G57" s="18">
        <f t="shared" ref="G57:G60" si="6">E57-F57</f>
        <v>6.424199999999991E-3</v>
      </c>
    </row>
    <row r="58" spans="2:7" ht="15.6" thickBot="1" x14ac:dyDescent="0.3">
      <c r="C58" s="16">
        <v>0.6</v>
      </c>
      <c r="D58" s="16">
        <v>0.57289999999999996</v>
      </c>
      <c r="E58" s="18">
        <f>0.781*(C58-C57)</f>
        <v>0.15619999999999998</v>
      </c>
      <c r="F58" s="18">
        <f t="shared" si="5"/>
        <v>0.15283729999999998</v>
      </c>
      <c r="G58" s="18">
        <f t="shared" si="6"/>
        <v>3.3626999999999962E-3</v>
      </c>
    </row>
    <row r="59" spans="2:7" ht="15.6" thickBot="1" x14ac:dyDescent="0.3">
      <c r="C59" s="16">
        <v>0.8</v>
      </c>
      <c r="D59" s="16">
        <v>0.74580000000000002</v>
      </c>
      <c r="E59" s="18">
        <f>0.768*(C59-C58)</f>
        <v>0.15360000000000004</v>
      </c>
      <c r="F59" s="18">
        <f>0.863*(D59-D58)</f>
        <v>0.14921270000000003</v>
      </c>
      <c r="G59" s="18">
        <f t="shared" si="6"/>
        <v>4.3873000000000106E-3</v>
      </c>
    </row>
    <row r="60" spans="2:7" ht="15.6" thickBot="1" x14ac:dyDescent="0.3">
      <c r="C60" s="16">
        <v>1</v>
      </c>
      <c r="D60" s="16">
        <v>0.91669999999999996</v>
      </c>
      <c r="E60" s="18">
        <f>0.7582*(C60-C59)</f>
        <v>0.15163999999999997</v>
      </c>
      <c r="F60" s="18">
        <f t="shared" ref="F60" si="7">0.863*(D60-D59)</f>
        <v>0.14748669999999994</v>
      </c>
      <c r="G60" s="18">
        <f t="shared" si="6"/>
        <v>4.1533000000000264E-3</v>
      </c>
    </row>
    <row r="61" spans="2:7" ht="15.6" thickBot="1" x14ac:dyDescent="0.3"/>
    <row r="62" spans="2:7" ht="18" thickBot="1" x14ac:dyDescent="0.35">
      <c r="C62" s="7"/>
      <c r="E62" s="13"/>
      <c r="F62" s="7" t="s">
        <v>7</v>
      </c>
      <c r="G62" s="19">
        <f>AVERAGE(G56:G60)</f>
        <v>2.6340800000000109E-3</v>
      </c>
    </row>
    <row r="63" spans="2:7" ht="15.6" thickBot="1" x14ac:dyDescent="0.3">
      <c r="C63" s="7"/>
      <c r="D63" s="14"/>
      <c r="F63" s="7" t="s">
        <v>8</v>
      </c>
      <c r="G63" s="20">
        <f>_xlfn.STDEV.S(G56:G60)</f>
        <v>4.499449752136354E-3</v>
      </c>
    </row>
    <row r="64" spans="2:7" ht="18" thickBot="1" x14ac:dyDescent="0.35">
      <c r="C64" s="7"/>
      <c r="D64" s="7"/>
      <c r="E64" s="13"/>
      <c r="F64" s="7" t="s">
        <v>9</v>
      </c>
      <c r="G64" s="20">
        <f>G63/SQRT(6)</f>
        <v>1.8368926693377188E-3</v>
      </c>
    </row>
    <row r="69" spans="2:7" x14ac:dyDescent="0.25">
      <c r="B69" s="8" t="s">
        <v>12</v>
      </c>
    </row>
    <row r="70" spans="2:7" x14ac:dyDescent="0.25">
      <c r="C70" s="15"/>
    </row>
    <row r="71" spans="2:7" ht="17.399999999999999" x14ac:dyDescent="0.3">
      <c r="C71" s="7" t="s">
        <v>14</v>
      </c>
      <c r="D71" s="20">
        <f>AVERAGE(G62,G44,G26)</f>
        <v>2.0478399999999983E-3</v>
      </c>
      <c r="E71" s="13" t="s">
        <v>13</v>
      </c>
      <c r="F71" s="20">
        <f>AVERAGE(G64,G46,G28)</f>
        <v>1.5507378057640743E-3</v>
      </c>
      <c r="G71" s="1" t="s">
        <v>20</v>
      </c>
    </row>
  </sheetData>
  <mergeCells count="12">
    <mergeCell ref="B2:E2"/>
    <mergeCell ref="C4:E4"/>
    <mergeCell ref="C6:E6"/>
    <mergeCell ref="C17:C18"/>
    <mergeCell ref="D17:D18"/>
    <mergeCell ref="E17:E18"/>
    <mergeCell ref="C35:C36"/>
    <mergeCell ref="D35:D36"/>
    <mergeCell ref="E35:E36"/>
    <mergeCell ref="C53:C54"/>
    <mergeCell ref="D53:D54"/>
    <mergeCell ref="E53:E54"/>
  </mergeCells>
  <pageMargins left="0.78749999999999998" right="0.78749999999999998" top="1.0263888888888899" bottom="1.0249999999999999" header="0.78749999999999998" footer="0.78749999999999998"/>
  <pageSetup orientation="portrait" useFirstPageNumber="1" horizontalDpi="300" verticalDpi="300" r:id="rId1"/>
  <headerFooter>
    <oddHeader>&amp;LPHYS 2211&amp;CStatistics and Error Analysis&amp;RLab 01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Murray, Eric R</dc:creator>
  <dc:description/>
  <cp:lastModifiedBy>Devin Fromond</cp:lastModifiedBy>
  <cp:revision>25</cp:revision>
  <dcterms:created xsi:type="dcterms:W3CDTF">2017-08-29T14:16:48Z</dcterms:created>
  <dcterms:modified xsi:type="dcterms:W3CDTF">2023-03-30T19:57:42Z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