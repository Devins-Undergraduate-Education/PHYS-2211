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n\OneDrive\Documents\Georgia Tech\PHYS 2211\"/>
    </mc:Choice>
  </mc:AlternateContent>
  <xr:revisionPtr revIDLastSave="0" documentId="13_ncr:1_{C0A6E3F7-260D-4F4F-9AC4-7D4582817653}" xr6:coauthVersionLast="47" xr6:coauthVersionMax="47" xr10:uidLastSave="{00000000-0000-0000-0000-000000000000}"/>
  <bookViews>
    <workbookView xWindow="-108" yWindow="-108" windowWidth="23256" windowHeight="12456" tabRatio="14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F44" i="1"/>
  <c r="F45" i="1"/>
  <c r="F46" i="1"/>
  <c r="F47" i="1"/>
  <c r="F48" i="1"/>
  <c r="F49" i="1"/>
  <c r="F50" i="1"/>
  <c r="F42" i="1"/>
  <c r="F41" i="1"/>
  <c r="F17" i="1"/>
  <c r="F18" i="1"/>
  <c r="F19" i="1"/>
  <c r="F20" i="1"/>
  <c r="F21" i="1"/>
  <c r="F22" i="1"/>
  <c r="F23" i="1"/>
  <c r="F24" i="1"/>
  <c r="F25" i="1"/>
  <c r="F26" i="1"/>
  <c r="F53" i="1" l="1"/>
  <c r="F54" i="1" s="1"/>
  <c r="F52" i="1"/>
  <c r="F29" i="1"/>
  <c r="F30" i="1" s="1"/>
  <c r="F28" i="1"/>
</calcChain>
</file>

<file path=xl/sharedStrings.xml><?xml version="1.0" encoding="utf-8"?>
<sst xmlns="http://schemas.openxmlformats.org/spreadsheetml/2006/main" count="33" uniqueCount="21">
  <si>
    <t>Lab 07 – Centripetal Acceleration</t>
  </si>
  <si>
    <t>Your Name:</t>
  </si>
  <si>
    <t>Partner(s):</t>
  </si>
  <si>
    <t>Experiment 1 –  Block at end of rod</t>
  </si>
  <si>
    <t>Distance from pivot to block:</t>
  </si>
  <si>
    <t>Force Maximum</t>
  </si>
  <si>
    <t>Angular</t>
  </si>
  <si>
    <t>Average:</t>
  </si>
  <si>
    <t>Standard Deviation:</t>
  </si>
  <si>
    <t>Standard Error:</t>
  </si>
  <si>
    <t>Experiment 2 - Block at center of rod</t>
  </si>
  <si>
    <t>Experiment 3 – Gravitational Mass:</t>
  </si>
  <si>
    <t>Devin Fromond</t>
  </si>
  <si>
    <t>Evan Romero, Carlos Hernendez</t>
  </si>
  <si>
    <t>Velocity (m/s)</t>
  </si>
  <si>
    <t>Force (N)</t>
  </si>
  <si>
    <t>Mass (kg)</t>
  </si>
  <si>
    <t>(kg)</t>
  </si>
  <si>
    <t>(meters)</t>
  </si>
  <si>
    <r>
      <t>Change,D</t>
    </r>
    <r>
      <rPr>
        <i/>
        <sz val="12"/>
        <rFont val="Century"/>
        <family val="1"/>
      </rPr>
      <t>p</t>
    </r>
    <r>
      <rPr>
        <sz val="12"/>
        <rFont val="Century"/>
        <family val="1"/>
      </rPr>
      <t>( )</t>
    </r>
  </si>
  <si>
    <r>
      <t>J-D</t>
    </r>
    <r>
      <rPr>
        <i/>
        <sz val="12"/>
        <rFont val="Century"/>
        <family val="1"/>
      </rPr>
      <t>p</t>
    </r>
    <r>
      <rPr>
        <sz val="12"/>
        <rFont val="Century"/>
        <family val="1"/>
      </rPr>
      <t>(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</si>
</sst>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0"/>
      <name val="Arial"/>
      <family val="2"/>
    </font>
    <font>
      <sz val="12"/>
      <name val="Century"/>
      <family val="1"/>
    </font>
    <font>
      <b/>
      <sz val="14"/>
      <name val="Century"/>
      <family val="1"/>
    </font>
    <font>
      <sz val="10"/>
      <name val="Century"/>
      <family val="1"/>
    </font>
    <font>
      <b/>
      <sz val="12"/>
      <name val="Century"/>
      <family val="1"/>
    </font>
    <font>
      <i/>
      <sz val="12"/>
      <name val="Century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2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9"/>
  <sheetViews>
    <sheetView showGridLines="0" tabSelected="1" topLeftCell="B34" zoomScale="85" zoomScaleNormal="85" workbookViewId="0">
      <selection activeCell="C52" sqref="C52"/>
    </sheetView>
  </sheetViews>
  <sheetFormatPr defaultRowHeight="15" x14ac:dyDescent="0.25"/>
  <cols>
    <col min="1" max="2" width="19.44140625" style="1"/>
    <col min="3" max="3" width="23.6640625" style="1" customWidth="1"/>
    <col min="4" max="7" width="19.44140625" style="1"/>
    <col min="8" max="1025" width="11.5546875" style="1"/>
    <col min="1026" max="16384" width="8.88671875" style="3"/>
  </cols>
  <sheetData>
    <row r="1" spans="1:1024" ht="17.399999999999999" x14ac:dyDescent="0.25">
      <c r="B1" s="2"/>
      <c r="C1" s="3"/>
    </row>
    <row r="2" spans="1:1024" ht="17.399999999999999" x14ac:dyDescent="0.25">
      <c r="B2" s="20" t="s">
        <v>0</v>
      </c>
      <c r="C2" s="20"/>
      <c r="D2" s="20"/>
      <c r="E2" s="20"/>
    </row>
    <row r="3" spans="1:1024" x14ac:dyDescent="0.25">
      <c r="B3" s="4"/>
      <c r="C3" s="3"/>
    </row>
    <row r="4" spans="1:1024" x14ac:dyDescent="0.25">
      <c r="B4" s="4" t="s">
        <v>1</v>
      </c>
      <c r="C4" s="21" t="s">
        <v>12</v>
      </c>
      <c r="D4" s="21"/>
      <c r="E4" s="21"/>
    </row>
    <row r="5" spans="1:1024" x14ac:dyDescent="0.25">
      <c r="B5" s="4"/>
    </row>
    <row r="6" spans="1:1024" x14ac:dyDescent="0.25">
      <c r="B6" s="4" t="s">
        <v>2</v>
      </c>
      <c r="C6" s="21" t="s">
        <v>13</v>
      </c>
      <c r="D6" s="21"/>
      <c r="E6" s="21"/>
    </row>
    <row r="7" spans="1:1024" x14ac:dyDescent="0.25">
      <c r="B7" s="4"/>
    </row>
    <row r="8" spans="1:1024" x14ac:dyDescent="0.25">
      <c r="C8" s="6"/>
      <c r="E8" s="3"/>
    </row>
    <row r="10" spans="1:1024" x14ac:dyDescent="0.25">
      <c r="B10" s="7" t="s">
        <v>3</v>
      </c>
    </row>
    <row r="11" spans="1:1024" x14ac:dyDescent="0.25">
      <c r="B11" s="7"/>
    </row>
    <row r="12" spans="1:1024" x14ac:dyDescent="0.25">
      <c r="B12" s="7"/>
      <c r="C12" s="6" t="s">
        <v>4</v>
      </c>
      <c r="D12" s="5">
        <v>0.56999999999999995</v>
      </c>
      <c r="E12" s="1" t="s">
        <v>18</v>
      </c>
    </row>
    <row r="13" spans="1:1024" ht="17.25" customHeight="1" x14ac:dyDescent="0.25">
      <c r="B13" s="8"/>
    </row>
    <row r="14" spans="1:1024" ht="17.25" customHeight="1" x14ac:dyDescent="0.25">
      <c r="B14" s="8"/>
    </row>
    <row r="15" spans="1:1024" x14ac:dyDescent="0.25">
      <c r="A15" s="3"/>
      <c r="C15" s="19" t="s">
        <v>5</v>
      </c>
      <c r="D15" s="9" t="s">
        <v>6</v>
      </c>
      <c r="E15" s="19" t="s">
        <v>15</v>
      </c>
      <c r="F15" s="19" t="s">
        <v>16</v>
      </c>
      <c r="AMJ15" s="3"/>
    </row>
    <row r="16" spans="1:1024" x14ac:dyDescent="0.25">
      <c r="A16" s="3"/>
      <c r="C16" s="19"/>
      <c r="D16" s="10" t="s">
        <v>14</v>
      </c>
      <c r="E16" s="19" t="s">
        <v>19</v>
      </c>
      <c r="F16" s="19" t="s">
        <v>20</v>
      </c>
      <c r="AMJ16" s="3"/>
    </row>
    <row r="17" spans="1:1024" x14ac:dyDescent="0.25">
      <c r="A17" s="3"/>
      <c r="C17" s="11">
        <v>1</v>
      </c>
      <c r="D17" s="14">
        <v>3.36</v>
      </c>
      <c r="E17" s="14">
        <v>1.89</v>
      </c>
      <c r="F17" s="16">
        <f>E17/(D17^2*0.57 + 9.81)</f>
        <v>0.11634297465717602</v>
      </c>
      <c r="AMJ17" s="3"/>
    </row>
    <row r="18" spans="1:1024" x14ac:dyDescent="0.25">
      <c r="A18" s="3"/>
      <c r="C18" s="11">
        <v>2</v>
      </c>
      <c r="D18" s="14">
        <v>3.45</v>
      </c>
      <c r="E18" s="14">
        <v>1.9</v>
      </c>
      <c r="F18" s="16">
        <f t="shared" ref="F18:F26" si="0">E18/(D18^2*0.57 + 9.81)</f>
        <v>0.11449628414362051</v>
      </c>
      <c r="AMJ18" s="3"/>
    </row>
    <row r="19" spans="1:1024" x14ac:dyDescent="0.25">
      <c r="A19" s="3"/>
      <c r="C19" s="11">
        <v>3</v>
      </c>
      <c r="D19" s="14">
        <v>3.38</v>
      </c>
      <c r="E19" s="14">
        <v>1.8</v>
      </c>
      <c r="F19" s="16">
        <f t="shared" si="0"/>
        <v>0.11028122447449158</v>
      </c>
      <c r="AMJ19" s="3"/>
    </row>
    <row r="20" spans="1:1024" x14ac:dyDescent="0.25">
      <c r="A20" s="3"/>
      <c r="C20" s="11">
        <v>4</v>
      </c>
      <c r="D20" s="14">
        <v>3.36</v>
      </c>
      <c r="E20" s="14">
        <v>1.89</v>
      </c>
      <c r="F20" s="16">
        <f t="shared" si="0"/>
        <v>0.11634297465717602</v>
      </c>
      <c r="AMJ20" s="3"/>
    </row>
    <row r="21" spans="1:1024" x14ac:dyDescent="0.25">
      <c r="A21" s="3"/>
      <c r="C21" s="11">
        <v>5</v>
      </c>
      <c r="D21" s="15">
        <v>3.35</v>
      </c>
      <c r="E21" s="15">
        <v>1.83</v>
      </c>
      <c r="F21" s="16">
        <f t="shared" si="0"/>
        <v>0.11291539212646523</v>
      </c>
      <c r="AMJ21" s="3"/>
    </row>
    <row r="22" spans="1:1024" x14ac:dyDescent="0.25">
      <c r="A22" s="3"/>
      <c r="C22" s="11">
        <v>6</v>
      </c>
      <c r="D22" s="14">
        <v>3.38</v>
      </c>
      <c r="E22" s="14">
        <v>1.87</v>
      </c>
      <c r="F22" s="16">
        <f t="shared" si="0"/>
        <v>0.1145699387596107</v>
      </c>
      <c r="AMJ22" s="3"/>
    </row>
    <row r="23" spans="1:1024" x14ac:dyDescent="0.25">
      <c r="A23" s="3"/>
      <c r="C23" s="11">
        <v>7</v>
      </c>
      <c r="D23" s="14">
        <v>3.36</v>
      </c>
      <c r="E23" s="14">
        <v>1.8</v>
      </c>
      <c r="F23" s="16">
        <f t="shared" si="0"/>
        <v>0.11080283300683431</v>
      </c>
      <c r="AMJ23" s="3"/>
    </row>
    <row r="24" spans="1:1024" x14ac:dyDescent="0.25">
      <c r="A24" s="3"/>
      <c r="C24" s="11">
        <v>8</v>
      </c>
      <c r="D24" s="14">
        <v>3.32</v>
      </c>
      <c r="E24" s="14">
        <v>1.75</v>
      </c>
      <c r="F24" s="16">
        <f t="shared" si="0"/>
        <v>0.10874449939252216</v>
      </c>
      <c r="AMJ24" s="3"/>
    </row>
    <row r="25" spans="1:1024" x14ac:dyDescent="0.25">
      <c r="A25" s="3"/>
      <c r="C25" s="11">
        <v>9</v>
      </c>
      <c r="D25" s="14">
        <v>3.24</v>
      </c>
      <c r="E25" s="14">
        <v>1.77</v>
      </c>
      <c r="F25" s="16">
        <f t="shared" si="0"/>
        <v>0.11207048511703956</v>
      </c>
      <c r="AMJ25" s="3"/>
    </row>
    <row r="26" spans="1:1024" x14ac:dyDescent="0.25">
      <c r="A26" s="3"/>
      <c r="C26" s="11">
        <v>10</v>
      </c>
      <c r="D26" s="14">
        <v>3.33</v>
      </c>
      <c r="E26" s="14">
        <v>1.8</v>
      </c>
      <c r="F26" s="16">
        <f t="shared" si="0"/>
        <v>0.11158864853313931</v>
      </c>
      <c r="AMJ26" s="3"/>
    </row>
    <row r="27" spans="1:1024" x14ac:dyDescent="0.25">
      <c r="A27" s="3"/>
      <c r="AMJ27" s="3"/>
    </row>
    <row r="28" spans="1:1024" x14ac:dyDescent="0.25">
      <c r="A28" s="3"/>
      <c r="C28" s="6"/>
      <c r="D28" s="3"/>
      <c r="E28" s="6" t="s">
        <v>7</v>
      </c>
      <c r="F28" s="17">
        <f>AVERAGE(F17:F26)</f>
        <v>0.11281552548680754</v>
      </c>
      <c r="AMJ28" s="3"/>
    </row>
    <row r="29" spans="1:1024" x14ac:dyDescent="0.25">
      <c r="A29" s="3"/>
      <c r="C29" s="6"/>
      <c r="D29" s="13"/>
      <c r="E29" s="6" t="s">
        <v>8</v>
      </c>
      <c r="F29" s="17">
        <f>_xlfn.STDEV.S(F17:F26)</f>
        <v>2.5799625869674919E-3</v>
      </c>
      <c r="AMJ29" s="3"/>
    </row>
    <row r="30" spans="1:1024" x14ac:dyDescent="0.25">
      <c r="A30" s="3"/>
      <c r="C30" s="6"/>
      <c r="D30" s="6"/>
      <c r="E30" s="6" t="s">
        <v>9</v>
      </c>
      <c r="F30" s="18">
        <f>F29/SQRT(10)</f>
        <v>8.1585580528375189E-4</v>
      </c>
      <c r="AMJ30" s="3"/>
    </row>
    <row r="32" spans="1:1024" x14ac:dyDescent="0.25">
      <c r="N32" s="3"/>
    </row>
    <row r="34" spans="1:1024" x14ac:dyDescent="0.25">
      <c r="B34" s="7" t="s">
        <v>10</v>
      </c>
    </row>
    <row r="35" spans="1:1024" x14ac:dyDescent="0.25">
      <c r="B35" s="7"/>
    </row>
    <row r="36" spans="1:1024" x14ac:dyDescent="0.25">
      <c r="B36" s="7"/>
      <c r="C36" s="6" t="s">
        <v>4</v>
      </c>
      <c r="D36" s="5">
        <v>0.35</v>
      </c>
      <c r="E36" s="1" t="s">
        <v>18</v>
      </c>
    </row>
    <row r="37" spans="1:1024" ht="17.25" customHeight="1" x14ac:dyDescent="0.25">
      <c r="B37" s="8"/>
    </row>
    <row r="38" spans="1:1024" ht="17.25" customHeight="1" x14ac:dyDescent="0.25">
      <c r="B38" s="8"/>
    </row>
    <row r="39" spans="1:1024" x14ac:dyDescent="0.25">
      <c r="A39" s="3"/>
      <c r="C39" s="19" t="s">
        <v>5</v>
      </c>
      <c r="D39" s="9" t="s">
        <v>6</v>
      </c>
      <c r="E39" s="19" t="s">
        <v>15</v>
      </c>
      <c r="F39" s="19" t="s">
        <v>16</v>
      </c>
      <c r="AMJ39" s="3"/>
    </row>
    <row r="40" spans="1:1024" x14ac:dyDescent="0.25">
      <c r="A40" s="3"/>
      <c r="C40" s="19"/>
      <c r="D40" s="10" t="s">
        <v>14</v>
      </c>
      <c r="E40" s="19" t="s">
        <v>19</v>
      </c>
      <c r="F40" s="19" t="s">
        <v>20</v>
      </c>
      <c r="AMJ40" s="3"/>
    </row>
    <row r="41" spans="1:1024" x14ac:dyDescent="0.25">
      <c r="A41" s="3"/>
      <c r="C41" s="11">
        <v>1</v>
      </c>
      <c r="D41" s="14">
        <v>4.7</v>
      </c>
      <c r="E41" s="14">
        <v>2.0099999999999998</v>
      </c>
      <c r="F41" s="16">
        <f>E41/(D41^2*0.35 + 9.81)</f>
        <v>0.11458541173787874</v>
      </c>
      <c r="AMJ41" s="3"/>
    </row>
    <row r="42" spans="1:1024" x14ac:dyDescent="0.25">
      <c r="A42" s="3"/>
      <c r="C42" s="11">
        <v>2</v>
      </c>
      <c r="D42" s="14">
        <v>4.55</v>
      </c>
      <c r="E42" s="14">
        <v>1.97</v>
      </c>
      <c r="F42" s="16">
        <f>E42/(D42^2*0.35 + 9.81)</f>
        <v>0.1155027226688751</v>
      </c>
      <c r="AMJ42" s="3"/>
    </row>
    <row r="43" spans="1:1024" x14ac:dyDescent="0.25">
      <c r="A43" s="3"/>
      <c r="C43" s="11">
        <v>3</v>
      </c>
      <c r="D43" s="14">
        <v>4.6500000000000004</v>
      </c>
      <c r="E43" s="14">
        <v>2.02</v>
      </c>
      <c r="F43" s="16">
        <f t="shared" ref="F43:F50" si="1">E43/(D43^2*0.35 + 9.81)</f>
        <v>0.11623975888881696</v>
      </c>
      <c r="AMJ43" s="3"/>
    </row>
    <row r="44" spans="1:1024" x14ac:dyDescent="0.25">
      <c r="A44" s="3"/>
      <c r="C44" s="11">
        <v>4</v>
      </c>
      <c r="D44" s="14">
        <v>4.71</v>
      </c>
      <c r="E44" s="14">
        <v>1.99</v>
      </c>
      <c r="F44" s="16">
        <f t="shared" si="1"/>
        <v>0.11323265868860079</v>
      </c>
      <c r="AMJ44" s="3"/>
    </row>
    <row r="45" spans="1:1024" x14ac:dyDescent="0.25">
      <c r="A45" s="3"/>
      <c r="C45" s="11">
        <v>5</v>
      </c>
      <c r="D45" s="15">
        <v>4.6900000000000004</v>
      </c>
      <c r="E45" s="15">
        <v>2</v>
      </c>
      <c r="F45" s="16">
        <f t="shared" si="1"/>
        <v>0.11422935026059998</v>
      </c>
      <c r="AMJ45" s="3"/>
    </row>
    <row r="46" spans="1:1024" x14ac:dyDescent="0.25">
      <c r="A46" s="3"/>
      <c r="C46" s="11">
        <v>6</v>
      </c>
      <c r="D46" s="14">
        <v>4.71</v>
      </c>
      <c r="E46" s="14">
        <v>2.04</v>
      </c>
      <c r="F46" s="16">
        <f t="shared" si="1"/>
        <v>0.11607770036419378</v>
      </c>
      <c r="AMJ46" s="3"/>
    </row>
    <row r="47" spans="1:1024" x14ac:dyDescent="0.25">
      <c r="A47" s="3"/>
      <c r="C47" s="11">
        <v>7</v>
      </c>
      <c r="D47" s="14">
        <v>4.62</v>
      </c>
      <c r="E47" s="14">
        <v>1.98</v>
      </c>
      <c r="F47" s="16">
        <f t="shared" si="1"/>
        <v>0.11457975271606094</v>
      </c>
      <c r="AMJ47" s="3"/>
    </row>
    <row r="48" spans="1:1024" x14ac:dyDescent="0.25">
      <c r="A48" s="3"/>
      <c r="C48" s="11">
        <v>8</v>
      </c>
      <c r="D48" s="14">
        <v>4.6500000000000004</v>
      </c>
      <c r="E48" s="14">
        <v>2.0099999999999998</v>
      </c>
      <c r="F48" s="16">
        <f t="shared" si="1"/>
        <v>0.11566431453788222</v>
      </c>
      <c r="AMJ48" s="3"/>
    </row>
    <row r="49" spans="1:1024" x14ac:dyDescent="0.25">
      <c r="A49" s="3"/>
      <c r="C49" s="11">
        <v>9</v>
      </c>
      <c r="D49" s="14">
        <v>4.59</v>
      </c>
      <c r="E49" s="14">
        <v>1.97</v>
      </c>
      <c r="F49" s="16">
        <f t="shared" si="1"/>
        <v>0.1146426277952506</v>
      </c>
      <c r="AMJ49" s="3"/>
    </row>
    <row r="50" spans="1:1024" x14ac:dyDescent="0.25">
      <c r="A50" s="3"/>
      <c r="C50" s="11">
        <v>10</v>
      </c>
      <c r="D50" s="14">
        <v>4.68</v>
      </c>
      <c r="E50" s="14">
        <v>1.98</v>
      </c>
      <c r="F50" s="16">
        <f t="shared" si="1"/>
        <v>0.11329927488464075</v>
      </c>
      <c r="AMJ50" s="3"/>
    </row>
    <row r="51" spans="1:1024" x14ac:dyDescent="0.25">
      <c r="A51" s="3"/>
      <c r="AMJ51" s="3"/>
    </row>
    <row r="52" spans="1:1024" x14ac:dyDescent="0.25">
      <c r="A52" s="3"/>
      <c r="C52" s="6"/>
      <c r="D52" s="3"/>
      <c r="E52" s="6" t="s">
        <v>7</v>
      </c>
      <c r="F52" s="17">
        <f>AVERAGE(F41:F50)</f>
        <v>0.11480535725427998</v>
      </c>
      <c r="AMJ52" s="3"/>
    </row>
    <row r="53" spans="1:1024" x14ac:dyDescent="0.25">
      <c r="A53" s="3"/>
      <c r="C53" s="6"/>
      <c r="D53" s="13"/>
      <c r="E53" s="6" t="s">
        <v>8</v>
      </c>
      <c r="F53" s="17">
        <f>_xlfn.STDEV.S(F41:F50)</f>
        <v>1.0593338802765541E-3</v>
      </c>
      <c r="AMJ53" s="3"/>
    </row>
    <row r="54" spans="1:1024" x14ac:dyDescent="0.25">
      <c r="A54" s="3"/>
      <c r="C54" s="6"/>
      <c r="D54" s="6"/>
      <c r="E54" s="6" t="s">
        <v>9</v>
      </c>
      <c r="F54" s="18">
        <f>F53/SQRT(10)</f>
        <v>3.3499078642580313E-4</v>
      </c>
      <c r="AMJ54" s="3"/>
    </row>
    <row r="59" spans="1:1024" x14ac:dyDescent="0.25">
      <c r="B59" s="7" t="s">
        <v>11</v>
      </c>
      <c r="D59" s="12">
        <v>0.115</v>
      </c>
      <c r="E59" s="1" t="s">
        <v>17</v>
      </c>
    </row>
  </sheetData>
  <mergeCells count="9">
    <mergeCell ref="F15:F16"/>
    <mergeCell ref="C39:C40"/>
    <mergeCell ref="E39:E40"/>
    <mergeCell ref="F39:F40"/>
    <mergeCell ref="B2:E2"/>
    <mergeCell ref="C4:E4"/>
    <mergeCell ref="C6:E6"/>
    <mergeCell ref="C15:C16"/>
    <mergeCell ref="E15:E16"/>
  </mergeCells>
  <pageMargins left="0.78749999999999998" right="0.78749999999999998" top="1.0263888888888899" bottom="1.0249999999999999" header="0.78749999999999998" footer="0.78749999999999998"/>
  <pageSetup orientation="portrait" useFirstPageNumber="1" r:id="rId1"/>
  <headerFooter>
    <oddHeader>&amp;LPHYS 2211&amp;CStatistics and Error Analysis&amp;RLab 01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5903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cp:revision>24</cp:revision>
  <dcterms:created xsi:type="dcterms:W3CDTF">2017-08-29T14:16:48Z</dcterms:created>
  <dcterms:modified xsi:type="dcterms:W3CDTF">2023-03-02T20:20:24Z</dcterms:modified>
  <dc:language>en-US</dc:language>
</cp:coreProperties>
</file>